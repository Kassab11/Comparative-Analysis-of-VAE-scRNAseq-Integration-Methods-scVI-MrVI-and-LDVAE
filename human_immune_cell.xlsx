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scVI" sheetId="1" state="visible" r:id="rId3"/>
    <sheet name="MrVI" sheetId="2" state="visible" r:id="rId4"/>
    <sheet name="LDVAE" sheetId="3" state="visible" r:id="rId5"/>
    <sheet name="Baseline" sheetId="4" state="visible" r:id="rId6"/>
  </sheets>
  <definedNames>
    <definedName function="false" hidden="true" localSheetId="2" name="_xlnm._FilterDatabase" vbProcedure="false">LDVAE!$A$2:$U$62</definedName>
    <definedName function="false" hidden="true" localSheetId="1" name="_xlnm._FilterDatabase" vbProcedure="false">MrVI!$A$2:$U$122</definedName>
    <definedName function="false" hidden="true" localSheetId="0" name="_xlnm._FilterDatabase" vbProcedure="false">scVI!$A$2:$U$62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<sst xmlns="http://schemas.openxmlformats.org/spreadsheetml/2006/main" count="1473" uniqueCount="304">
  <si>
    <t xml:space="preserve">Batch correction</t>
  </si>
  <si>
    <t xml:space="preserve">Bio Conseravation</t>
  </si>
  <si>
    <t xml:space="preserve">Methods</t>
  </si>
  <si>
    <t xml:space="preserve">Hyperparameters</t>
  </si>
  <si>
    <t xml:space="preserve">Output</t>
  </si>
  <si>
    <t xml:space="preserve">Features</t>
  </si>
  <si>
    <t xml:space="preserve">Reference Name</t>
  </si>
  <si>
    <t xml:space="preserve">Training Time (s)</t>
  </si>
  <si>
    <t xml:space="preserve">GPU Memory Used (GB)</t>
  </si>
  <si>
    <t xml:space="preserve">Overall</t>
  </si>
  <si>
    <t xml:space="preserve">Batch ASW Score</t>
  </si>
  <si>
    <t xml:space="preserve">PCR Batch Score </t>
  </si>
  <si>
    <t xml:space="preserve">iLISI Score </t>
  </si>
  <si>
    <t xml:space="preserve">Graph Connectivity Score </t>
  </si>
  <si>
    <t xml:space="preserve">NMI Score </t>
  </si>
  <si>
    <t xml:space="preserve">ARI Score </t>
  </si>
  <si>
    <t xml:space="preserve">Label ASW Score </t>
  </si>
  <si>
    <t xml:space="preserve">Isolated Label F1 Score </t>
  </si>
  <si>
    <t xml:space="preserve">Isolated Label ASW Score </t>
  </si>
  <si>
    <t xml:space="preserve">cLISI Score </t>
  </si>
  <si>
    <t xml:space="preserve">Trajectory Conservation Score </t>
  </si>
  <si>
    <t xml:space="preserve">SCVI</t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</si>
  <si>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256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40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2</t>
    </r>
  </si>
  <si>
    <t xml:space="preserve">Embedding</t>
  </si>
  <si>
    <t xml:space="preserve">HVG</t>
  </si>
  <si>
    <t xml:space="preserve">/SCVI_HVG_human_cell_final/model24</t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</si>
  <si>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128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50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1</t>
    </r>
  </si>
  <si>
    <t xml:space="preserve">/SCVI_HVG_human_cell_final/model5</t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</si>
  <si>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256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20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2</t>
    </r>
  </si>
  <si>
    <t xml:space="preserve">/SCVI_HVG_human_cell_final/model22</t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</si>
  <si>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256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30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2</t>
    </r>
    <r>
      <rPr>
        <sz val="8"/>
        <color rgb="FF1F1F1F"/>
        <rFont val="DejaVu Sans Mono"/>
        <family val="3"/>
        <charset val="1"/>
      </rPr>
      <t xml:space="preserve">,</t>
    </r>
  </si>
  <si>
    <t xml:space="preserve">/SCVI_HVG_human_cell_final/model23</t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</si>
  <si>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128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40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1</t>
    </r>
  </si>
  <si>
    <t xml:space="preserve">/SCVI_HVG_human_cell_final/model4</t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</si>
  <si>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256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50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1</t>
    </r>
  </si>
  <si>
    <t xml:space="preserve">FULL</t>
  </si>
  <si>
    <t xml:space="preserve">/SCVI_FULL_human_cell_final/model20</t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</si>
  <si>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256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50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2</t>
    </r>
  </si>
  <si>
    <t xml:space="preserve">/SCVI_HVG_human_cell_final/model25</t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</si>
  <si>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256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40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1</t>
    </r>
  </si>
  <si>
    <t xml:space="preserve">/SCVI_HVG_human_cell_final/model19</t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</si>
  <si>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128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30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1</t>
    </r>
  </si>
  <si>
    <t xml:space="preserve">/SCVI_HVG_human_cell_final/model3</t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</si>
  <si>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256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50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3</t>
    </r>
  </si>
  <si>
    <t xml:space="preserve">/SCVI_HVG_human_cell_final/model30</t>
  </si>
  <si>
    <t xml:space="preserve">/SCVI_HVG_human_cell_final/model20</t>
  </si>
  <si>
    <t xml:space="preserve">/SCVI_FULL_human_cell_final/model4</t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</si>
  <si>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128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30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2</t>
    </r>
  </si>
  <si>
    <t xml:space="preserve">/SCVI_HVG_human_cell_final/model8</t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</si>
  <si>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128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40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2</t>
    </r>
  </si>
  <si>
    <t xml:space="preserve">/SCVI_FULL_human_cell_final/model9</t>
  </si>
  <si>
    <t xml:space="preserve">/SCVI_HVG_human_cell_final/model9</t>
  </si>
  <si>
    <t xml:space="preserve">/SCVI_FULL_human_cell_final/model23</t>
  </si>
  <si>
    <t xml:space="preserve">/SCVI_FULL_human_cell_final/model8</t>
  </si>
  <si>
    <t xml:space="preserve">/SCVI_FULL_human_cell_final/model22</t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</si>
  <si>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256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20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3</t>
    </r>
  </si>
  <si>
    <t xml:space="preserve">/SCVI_FULL_human_cell_final/model27</t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</si>
  <si>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128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50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3</t>
    </r>
  </si>
  <si>
    <t xml:space="preserve">/SCVI_FULL_human_cell_final/model15</t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</si>
  <si>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128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20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3</t>
    </r>
  </si>
  <si>
    <t xml:space="preserve">/SCVI_HVG_human_cell_final/model12</t>
  </si>
  <si>
    <t xml:space="preserve">/SCVI_FULL_human_cell_final/model5</t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</si>
  <si>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128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50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2</t>
    </r>
  </si>
  <si>
    <t xml:space="preserve">/SCVI_HVG_human_cell_final/model10</t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</si>
  <si>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256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30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3</t>
    </r>
  </si>
  <si>
    <t xml:space="preserve">/SCVI_HVG_human_cell_final/model28</t>
  </si>
  <si>
    <t xml:space="preserve">/SCVI_FULL_human_cell_final/model25</t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</si>
  <si>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256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30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1</t>
    </r>
  </si>
  <si>
    <t xml:space="preserve">/SCVI_HVG_human_cell_final/model18</t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</si>
  <si>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256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40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3</t>
    </r>
  </si>
  <si>
    <t xml:space="preserve">/SCVI_HVG_human_cell_final/model29</t>
  </si>
  <si>
    <t xml:space="preserve">/SCVI_FULL_human_cell_final/model29</t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</si>
  <si>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128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30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3</t>
    </r>
  </si>
  <si>
    <t xml:space="preserve">/SCVI_HVG_human_cell_final/model13</t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</si>
  <si>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128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10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3</t>
    </r>
  </si>
  <si>
    <t xml:space="preserve">/SCVI_HVG_human_cell_final/model11</t>
  </si>
  <si>
    <t xml:space="preserve">/SCVI_FULL_human_cell_final/model3</t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</si>
  <si>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128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20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2</t>
    </r>
  </si>
  <si>
    <t xml:space="preserve">/SCVI_HVG_human_cell_final/model7</t>
  </si>
  <si>
    <t xml:space="preserve">/SCVI_FULL_human_cell_final/model13</t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</si>
  <si>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128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40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3</t>
    </r>
  </si>
  <si>
    <t xml:space="preserve">/SCVI_HVG_human_cell_final/model14</t>
  </si>
  <si>
    <t xml:space="preserve">/SCVI_HVG_human_cell_final/model27</t>
  </si>
  <si>
    <t xml:space="preserve">/SCVI_FULL_human_cell_final/model10</t>
  </si>
  <si>
    <t xml:space="preserve">/SCVI_FULL_human_cell_final/model30</t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</si>
  <si>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256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20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1</t>
    </r>
  </si>
  <si>
    <t xml:space="preserve">/SCVI_HVG_human_cell_final/model17</t>
  </si>
  <si>
    <t xml:space="preserve">/SCVI_HVG_human_cell_final/model15</t>
  </si>
  <si>
    <t xml:space="preserve">/SCVI_FULL_human_cell_final/model18</t>
  </si>
  <si>
    <t xml:space="preserve">/SCVI_FULL_human_cell_final/model17</t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</si>
  <si>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256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10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1</t>
    </r>
  </si>
  <si>
    <t xml:space="preserve">/SCVI_HVG_human_cell_final/model16</t>
  </si>
  <si>
    <t xml:space="preserve">/SCVI_FULL_human_cell_final/model28</t>
  </si>
  <si>
    <t xml:space="preserve">/SCVI_FULL_human_cell_final/model19</t>
  </si>
  <si>
    <t xml:space="preserve">/SCVI_FULL_human_cell_final/model24</t>
  </si>
  <si>
    <t xml:space="preserve">/SCVI_FULL_human_cell_final/model12</t>
  </si>
  <si>
    <t xml:space="preserve">/SCVI_FULL_human_cell_final/model14</t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</si>
  <si>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256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10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2</t>
    </r>
  </si>
  <si>
    <t xml:space="preserve">/SCVI_FULL_human_cell_final/model21</t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</si>
  <si>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128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20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1</t>
    </r>
  </si>
  <si>
    <t xml:space="preserve">/SCVI_HVG_human_cell_final/model2</t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</si>
  <si>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128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10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2</t>
    </r>
  </si>
  <si>
    <t xml:space="preserve">/SCVI_FULL_human_cell_final/model6</t>
  </si>
  <si>
    <t xml:space="preserve">/SCVI_FULL_human_cell_final/model2</t>
  </si>
  <si>
    <t xml:space="preserve">/SCVI_FULL_human_cell_final/model7</t>
  </si>
  <si>
    <t xml:space="preserve">/SCVI_HVG_human_cell_final/model21</t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</si>
  <si>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256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10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3</t>
    </r>
  </si>
  <si>
    <t xml:space="preserve">/SCVI_HVG_human_cell_final/model26</t>
  </si>
  <si>
    <t xml:space="preserve">/SCVI_HVG_human_cell_final/model6</t>
  </si>
  <si>
    <t xml:space="preserve">/SCVI_FULL_human_cell_final/model26</t>
  </si>
  <si>
    <t xml:space="preserve">/SCVI_FULL_human_cell_final/model11</t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</si>
  <si>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128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10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1</t>
    </r>
  </si>
  <si>
    <t xml:space="preserve">/SCVI_HVG_human_cell_final/model1</t>
  </si>
  <si>
    <t xml:space="preserve">/SCVI_FULL_human_cell_final/model1</t>
  </si>
  <si>
    <t xml:space="preserve">/SCVI_FULL_human_cell_final/model16</t>
  </si>
  <si>
    <t xml:space="preserve">MrVI</t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</si>
  <si>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256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30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1</t>
    </r>
    <r>
      <rPr>
        <sz val="8"/>
        <color rgb="FF1F1F1F"/>
        <rFont val="DejaVu Sans Mono"/>
        <family val="3"/>
        <charset val="1"/>
      </rPr>
      <t xml:space="preserve">, n_latent_u: 20</t>
    </r>
  </si>
  <si>
    <t xml:space="preserve">/MrVI_hvg_human_cell_final/model48</t>
  </si>
  <si>
    <t xml:space="preserve">NaN</t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</si>
  <si>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128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30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1</t>
    </r>
    <r>
      <rPr>
        <sz val="8"/>
        <color rgb="FF1F1F1F"/>
        <rFont val="DejaVu Sans Mono"/>
        <family val="3"/>
        <charset val="1"/>
      </rPr>
      <t xml:space="preserve">, n_latent_u: 10</t>
    </r>
  </si>
  <si>
    <t xml:space="preserve">/MrVI_hvg_human_cell_final/model3</t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</si>
  <si>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256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50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1</t>
    </r>
    <r>
      <rPr>
        <sz val="8"/>
        <color rgb="FF1F1F1F"/>
        <rFont val="DejaVu Sans Mono"/>
        <family val="3"/>
        <charset val="1"/>
      </rPr>
      <t xml:space="preserve">, n_latent_u: 20</t>
    </r>
  </si>
  <si>
    <t xml:space="preserve">/MrVI_hvg_human_cell_final/model50</t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</si>
  <si>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256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30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1</t>
    </r>
    <r>
      <rPr>
        <sz val="8"/>
        <color rgb="FF1F1F1F"/>
        <rFont val="DejaVu Sans Mono"/>
        <family val="3"/>
        <charset val="1"/>
      </rPr>
      <t xml:space="preserve">, n_latent_u: 10</t>
    </r>
  </si>
  <si>
    <t xml:space="preserve">/MrVI_hvg_human_cell_final/model18</t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</si>
  <si>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256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50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1</t>
    </r>
    <r>
      <rPr>
        <sz val="8"/>
        <color rgb="FF1F1F1F"/>
        <rFont val="DejaVu Sans Mono"/>
        <family val="3"/>
        <charset val="1"/>
      </rPr>
      <t xml:space="preserve">, n_latent_u: 10</t>
    </r>
  </si>
  <si>
    <t xml:space="preserve">/MrVI_hvg_human_cell_final/model20</t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</si>
  <si>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256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20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1</t>
    </r>
    <r>
      <rPr>
        <sz val="8"/>
        <color rgb="FF1F1F1F"/>
        <rFont val="DejaVu Sans Mono"/>
        <family val="3"/>
        <charset val="1"/>
      </rPr>
      <t xml:space="preserve">, n_latent_u: 20</t>
    </r>
  </si>
  <si>
    <t xml:space="preserve">/MrVI_hvg_human_cell_final/model47</t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</si>
  <si>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256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40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1</t>
    </r>
    <r>
      <rPr>
        <sz val="8"/>
        <color rgb="FF1F1F1F"/>
        <rFont val="DejaVu Sans Mono"/>
        <family val="3"/>
        <charset val="1"/>
      </rPr>
      <t xml:space="preserve">, n_latent_u: 20</t>
    </r>
  </si>
  <si>
    <t xml:space="preserve">/MrVI_full_human_cell_final/model49</t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</si>
  <si>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128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30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2</t>
    </r>
    <r>
      <rPr>
        <sz val="8"/>
        <color rgb="FF1F1F1F"/>
        <rFont val="DejaVu Sans Mono"/>
        <family val="3"/>
        <charset val="1"/>
      </rPr>
      <t xml:space="preserve">, n_latent_u: 20</t>
    </r>
  </si>
  <si>
    <t xml:space="preserve">/MrVI_full_human_cell_final/model38</t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</si>
  <si>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128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50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2</t>
    </r>
    <r>
      <rPr>
        <sz val="8"/>
        <color rgb="FF1F1F1F"/>
        <rFont val="DejaVu Sans Mono"/>
        <family val="3"/>
        <charset val="1"/>
      </rPr>
      <t xml:space="preserve">, n_latent_u: 20</t>
    </r>
  </si>
  <si>
    <t xml:space="preserve">/MrVI_hvg_human_cell_final/model40</t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</si>
  <si>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128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40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1</t>
    </r>
    <r>
      <rPr>
        <sz val="8"/>
        <color rgb="FF1F1F1F"/>
        <rFont val="DejaVu Sans Mono"/>
        <family val="3"/>
        <charset val="1"/>
      </rPr>
      <t xml:space="preserve">, n_latent_u: 10</t>
    </r>
  </si>
  <si>
    <t xml:space="preserve">/MrVI_full_human_cell_final/model4</t>
  </si>
  <si>
    <t xml:space="preserve">/MrVI_hvg_human_cell_final/model38</t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</si>
  <si>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128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40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1</t>
    </r>
    <r>
      <rPr>
        <sz val="8"/>
        <color rgb="FF1F1F1F"/>
        <rFont val="DejaVu Sans Mono"/>
        <family val="3"/>
        <charset val="1"/>
      </rPr>
      <t xml:space="preserve">, n_latent_u: 20</t>
    </r>
  </si>
  <si>
    <t xml:space="preserve">/MrVI_hvg_human_cell_final/model34</t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</si>
  <si>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128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20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1</t>
    </r>
    <r>
      <rPr>
        <sz val="8"/>
        <color rgb="FF1F1F1F"/>
        <rFont val="DejaVu Sans Mono"/>
        <family val="3"/>
        <charset val="1"/>
      </rPr>
      <t xml:space="preserve">, n_latent_u: 10</t>
    </r>
  </si>
  <si>
    <t xml:space="preserve">/MrVI_full_human_cell_final/model2</t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</si>
  <si>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128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40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2</t>
    </r>
    <r>
      <rPr>
        <sz val="8"/>
        <color rgb="FF1F1F1F"/>
        <rFont val="DejaVu Sans Mono"/>
        <family val="3"/>
        <charset val="1"/>
      </rPr>
      <t xml:space="preserve">, n_latent_u: 10</t>
    </r>
  </si>
  <si>
    <t xml:space="preserve">/MrVI_full_human_cell_final/model9</t>
  </si>
  <si>
    <t xml:space="preserve">/MrVI_hvg_human_cell_final/model4</t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</si>
  <si>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128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30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2</t>
    </r>
    <r>
      <rPr>
        <sz val="8"/>
        <color rgb="FF1F1F1F"/>
        <rFont val="DejaVu Sans Mono"/>
        <family val="3"/>
        <charset val="1"/>
      </rPr>
      <t xml:space="preserve">, n_latent_u: 10</t>
    </r>
  </si>
  <si>
    <t xml:space="preserve">/MrVI_full_human_cell_final/model8</t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</si>
  <si>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128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20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1</t>
    </r>
    <r>
      <rPr>
        <sz val="8"/>
        <color rgb="FF1F1F1F"/>
        <rFont val="DejaVu Sans Mono"/>
        <family val="3"/>
        <charset val="1"/>
      </rPr>
      <t xml:space="preserve">, n_latent_u: 20</t>
    </r>
  </si>
  <si>
    <t xml:space="preserve">/MrVI_full_human_cell_final/model32</t>
  </si>
  <si>
    <t xml:space="preserve">/MrVI_hvg_human_cell_final/model2</t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</si>
  <si>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128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50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1</t>
    </r>
    <r>
      <rPr>
        <sz val="8"/>
        <color rgb="FF1F1F1F"/>
        <rFont val="DejaVu Sans Mono"/>
        <family val="3"/>
        <charset val="1"/>
      </rPr>
      <t xml:space="preserve">, n_latent_u: 10</t>
    </r>
  </si>
  <si>
    <t xml:space="preserve">/MrVI_full_human_cell_final/model5</t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</si>
  <si>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128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20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2</t>
    </r>
    <r>
      <rPr>
        <sz val="8"/>
        <color rgb="FF1F1F1F"/>
        <rFont val="DejaVu Sans Mono"/>
        <family val="3"/>
        <charset val="1"/>
      </rPr>
      <t xml:space="preserve">, n_latent_u: 10</t>
    </r>
  </si>
  <si>
    <t xml:space="preserve">/MrVI_hvg_human_cell_final/model7</t>
  </si>
  <si>
    <t xml:space="preserve">/MrVI_hvg_human_cell_final/model9</t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</si>
  <si>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256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30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2</t>
    </r>
    <r>
      <rPr>
        <sz val="8"/>
        <color rgb="FF1F1F1F"/>
        <rFont val="DejaVu Sans Mono"/>
        <family val="3"/>
        <charset val="1"/>
      </rPr>
      <t xml:space="preserve">,, n_latent_u: 20</t>
    </r>
  </si>
  <si>
    <t xml:space="preserve">/MrVI_full_human_cell_final/model53</t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</si>
  <si>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128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50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2</t>
    </r>
    <r>
      <rPr>
        <sz val="8"/>
        <color rgb="FF1F1F1F"/>
        <rFont val="DejaVu Sans Mono"/>
        <family val="3"/>
        <charset val="1"/>
      </rPr>
      <t xml:space="preserve">, n_latent_u: 10</t>
    </r>
  </si>
  <si>
    <t xml:space="preserve">/MrVI_full_human_cell_final/model10</t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</si>
  <si>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128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40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2</t>
    </r>
    <r>
      <rPr>
        <sz val="8"/>
        <color rgb="FF1F1F1F"/>
        <rFont val="DejaVu Sans Mono"/>
        <family val="3"/>
        <charset val="1"/>
      </rPr>
      <t xml:space="preserve">, n_latent_u: 20</t>
    </r>
  </si>
  <si>
    <t xml:space="preserve">/MrVI_hvg_human_cell_final/model39</t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</si>
  <si>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256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20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1</t>
    </r>
    <r>
      <rPr>
        <sz val="8"/>
        <color rgb="FF1F1F1F"/>
        <rFont val="DejaVu Sans Mono"/>
        <family val="3"/>
        <charset val="1"/>
      </rPr>
      <t xml:space="preserve">, n_latent_u: 10</t>
    </r>
  </si>
  <si>
    <t xml:space="preserve">/MrVI_full_human_cell_final/model17</t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</si>
  <si>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256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50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2</t>
    </r>
    <r>
      <rPr>
        <sz val="8"/>
        <color rgb="FF1F1F1F"/>
        <rFont val="DejaVu Sans Mono"/>
        <family val="3"/>
        <charset val="1"/>
      </rPr>
      <t xml:space="preserve">, n_latent_u: 20</t>
    </r>
  </si>
  <si>
    <t xml:space="preserve">/MrVI_hvg_human_cell_final/model55</t>
  </si>
  <si>
    <t xml:space="preserve">/MrVI_full_human_cell_final/model47</t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</si>
  <si>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128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30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1</t>
    </r>
    <r>
      <rPr>
        <sz val="8"/>
        <color rgb="FF1F1F1F"/>
        <rFont val="DejaVu Sans Mono"/>
        <family val="3"/>
        <charset val="1"/>
      </rPr>
      <t xml:space="preserve">, n_latent_u: 20</t>
    </r>
  </si>
  <si>
    <t xml:space="preserve">/MrVI_hvg_human_cell_final/model33</t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</si>
  <si>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256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40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1</t>
    </r>
    <r>
      <rPr>
        <sz val="8"/>
        <color rgb="FF1F1F1F"/>
        <rFont val="DejaVu Sans Mono"/>
        <family val="3"/>
        <charset val="1"/>
      </rPr>
      <t xml:space="preserve">, n_latent_u: 10</t>
    </r>
  </si>
  <si>
    <t xml:space="preserve">/MrVI_hvg_human_cell_final/model19</t>
  </si>
  <si>
    <t xml:space="preserve">/MrVI_full_human_cell_final/model39</t>
  </si>
  <si>
    <t xml:space="preserve">/MrVI_full_human_cell_final/model19</t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</si>
  <si>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128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30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3</t>
    </r>
    <r>
      <rPr>
        <sz val="8"/>
        <color rgb="FF1F1F1F"/>
        <rFont val="DejaVu Sans Mono"/>
        <family val="3"/>
        <charset val="1"/>
      </rPr>
      <t xml:space="preserve">, n_latent_u: 20</t>
    </r>
  </si>
  <si>
    <t xml:space="preserve">/MrVI_full_human_cell_final/model43</t>
  </si>
  <si>
    <t xml:space="preserve">/MrVI_hvg_human_cell_final/model8</t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</si>
  <si>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128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50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3</t>
    </r>
    <r>
      <rPr>
        <sz val="8"/>
        <color rgb="FF1F1F1F"/>
        <rFont val="DejaVu Sans Mono"/>
        <family val="3"/>
        <charset val="1"/>
      </rPr>
      <t xml:space="preserve">, n_latent_u: 10</t>
    </r>
  </si>
  <si>
    <t xml:space="preserve">/MrVI_hvg_human_cell_final/model15</t>
  </si>
  <si>
    <t xml:space="preserve">/MrVI_hvg_human_cell_final/model5</t>
  </si>
  <si>
    <t xml:space="preserve">/MrVI_hvg_human_cell_final/model32</t>
  </si>
  <si>
    <t xml:space="preserve">/MrVI_full_human_cell_final/model48</t>
  </si>
  <si>
    <t xml:space="preserve">/MrVI_hvg_human_cell_final/model17</t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</si>
  <si>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128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20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2</t>
    </r>
    <r>
      <rPr>
        <sz val="8"/>
        <color rgb="FF1F1F1F"/>
        <rFont val="DejaVu Sans Mono"/>
        <family val="3"/>
        <charset val="1"/>
      </rPr>
      <t xml:space="preserve">, n_latent_u: 20</t>
    </r>
  </si>
  <si>
    <t xml:space="preserve">/MrVI_hvg_human_cell_final/model37</t>
  </si>
  <si>
    <t xml:space="preserve">/MrVI_full_human_cell_final/model33</t>
  </si>
  <si>
    <t xml:space="preserve">/MrVI_full_human_cell_final/model18</t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</si>
  <si>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256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20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2</t>
    </r>
    <r>
      <rPr>
        <sz val="8"/>
        <color rgb="FF1F1F1F"/>
        <rFont val="DejaVu Sans Mono"/>
        <family val="3"/>
        <charset val="1"/>
      </rPr>
      <t xml:space="preserve">, n_latent_u: 20</t>
    </r>
  </si>
  <si>
    <t xml:space="preserve">/MrVI_hvg_human_cell_final/model52</t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</si>
  <si>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128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40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3</t>
    </r>
    <r>
      <rPr>
        <sz val="8"/>
        <color rgb="FF1F1F1F"/>
        <rFont val="DejaVu Sans Mono"/>
        <family val="3"/>
        <charset val="1"/>
      </rPr>
      <t xml:space="preserve">, n_latent_u: 10</t>
    </r>
  </si>
  <si>
    <t xml:space="preserve">/MrVI_hvg_human_cell_final/model14</t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</si>
  <si>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128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30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3</t>
    </r>
    <r>
      <rPr>
        <sz val="8"/>
        <color rgb="FF1F1F1F"/>
        <rFont val="DejaVu Sans Mono"/>
        <family val="3"/>
        <charset val="1"/>
      </rPr>
      <t xml:space="preserve">, n_latent_u: 10</t>
    </r>
  </si>
  <si>
    <t xml:space="preserve">/MrVI_hvg_human_cell_final/model13</t>
  </si>
  <si>
    <t xml:space="preserve">/MrVI_full_human_cell_final/model3</t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</si>
  <si>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128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50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3</t>
    </r>
    <r>
      <rPr>
        <sz val="8"/>
        <color rgb="FF1F1F1F"/>
        <rFont val="DejaVu Sans Mono"/>
        <family val="3"/>
        <charset val="1"/>
      </rPr>
      <t xml:space="preserve">, n_latent_u: 20</t>
    </r>
  </si>
  <si>
    <t xml:space="preserve">/MrVI_hvg_human_cell_final/model45</t>
  </si>
  <si>
    <t xml:space="preserve">/MrVI_full_human_cell_final/model50</t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</si>
  <si>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128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50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1</t>
    </r>
    <r>
      <rPr>
        <sz val="8"/>
        <color rgb="FF1F1F1F"/>
        <rFont val="DejaVu Sans Mono"/>
        <family val="3"/>
        <charset val="1"/>
      </rPr>
      <t xml:space="preserve">, n_latent_u: 20</t>
    </r>
  </si>
  <si>
    <t xml:space="preserve">/MrVI_hvg_human_cell_final/model35</t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</si>
  <si>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256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30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2</t>
    </r>
    <r>
      <rPr>
        <sz val="8"/>
        <color rgb="FF1F1F1F"/>
        <rFont val="DejaVu Sans Mono"/>
        <family val="3"/>
        <charset val="1"/>
      </rPr>
      <t xml:space="preserve">,, n_latent_u: 10</t>
    </r>
  </si>
  <si>
    <t xml:space="preserve">/MrVI_hvg_human_cell_final/model23</t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</si>
  <si>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256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50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2</t>
    </r>
    <r>
      <rPr>
        <sz val="8"/>
        <color rgb="FF1F1F1F"/>
        <rFont val="DejaVu Sans Mono"/>
        <family val="3"/>
        <charset val="1"/>
      </rPr>
      <t xml:space="preserve">, n_latent_u: 10</t>
    </r>
  </si>
  <si>
    <t xml:space="preserve">/MrVI_hvg_human_cell_final/model25</t>
  </si>
  <si>
    <t xml:space="preserve">/MrVI_hvg_human_cell_final/model49</t>
  </si>
  <si>
    <t xml:space="preserve">/MrVI_hvg_human_cell_final/model43</t>
  </si>
  <si>
    <t xml:space="preserve">/MrVI_full_human_cell_final/model13</t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</si>
  <si>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256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40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2</t>
    </r>
    <r>
      <rPr>
        <sz val="8"/>
        <color rgb="FF1F1F1F"/>
        <rFont val="DejaVu Sans Mono"/>
        <family val="3"/>
        <charset val="1"/>
      </rPr>
      <t xml:space="preserve">, n_latent_u: 20</t>
    </r>
  </si>
  <si>
    <t xml:space="preserve">/MrVI_hvg_human_cell_final/model54</t>
  </si>
  <si>
    <t xml:space="preserve">/MrVI_full_human_cell_final/model55</t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</si>
  <si>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128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40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3</t>
    </r>
    <r>
      <rPr>
        <sz val="8"/>
        <color rgb="FF1F1F1F"/>
        <rFont val="DejaVu Sans Mono"/>
        <family val="3"/>
        <charset val="1"/>
      </rPr>
      <t xml:space="preserve">, n_latent_u: 20</t>
    </r>
  </si>
  <si>
    <t xml:space="preserve">/MrVI_full_human_cell_final/model44</t>
  </si>
  <si>
    <t xml:space="preserve">/MrVI_full_human_cell_final/model40</t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</si>
  <si>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128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10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2</t>
    </r>
    <r>
      <rPr>
        <sz val="8"/>
        <color rgb="FF1F1F1F"/>
        <rFont val="DejaVu Sans Mono"/>
        <family val="3"/>
        <charset val="1"/>
      </rPr>
      <t xml:space="preserve">, n_latent_u: 10</t>
    </r>
  </si>
  <si>
    <t xml:space="preserve">/MrVI_full_human_cell_final/model6</t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</si>
  <si>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256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10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1</t>
    </r>
    <r>
      <rPr>
        <sz val="8"/>
        <color rgb="FF1F1F1F"/>
        <rFont val="DejaVu Sans Mono"/>
        <family val="3"/>
        <charset val="1"/>
      </rPr>
      <t xml:space="preserve">, n_latent_u: 10</t>
    </r>
  </si>
  <si>
    <t xml:space="preserve">/MrVI_hvg_human_cell_final/model16</t>
  </si>
  <si>
    <t xml:space="preserve">/MrVI_full_human_cell_final/model54</t>
  </si>
  <si>
    <t xml:space="preserve">/MrVI_full_human_cell_final/model45</t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</si>
  <si>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128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20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3</t>
    </r>
    <r>
      <rPr>
        <sz val="8"/>
        <color rgb="FF1F1F1F"/>
        <rFont val="DejaVu Sans Mono"/>
        <family val="3"/>
        <charset val="1"/>
      </rPr>
      <t xml:space="preserve">, n_latent_u: 20</t>
    </r>
  </si>
  <si>
    <t xml:space="preserve">/MrVI_hvg_human_cell_final/model42</t>
  </si>
  <si>
    <t xml:space="preserve">/MrVI_hvg_human_cell_final/model10</t>
  </si>
  <si>
    <t xml:space="preserve">/MrVI_full_human_cell_final/model7</t>
  </si>
  <si>
    <t xml:space="preserve">/MrVI_full_human_cell_final/model20</t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</si>
  <si>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128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10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1, n_latent_u: 10</t>
    </r>
  </si>
  <si>
    <t xml:space="preserve">/MrVI_FULL_human_cell_final/model1</t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</si>
  <si>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256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20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2</t>
    </r>
    <r>
      <rPr>
        <sz val="8"/>
        <color rgb="FF1F1F1F"/>
        <rFont val="DejaVu Sans Mono"/>
        <family val="3"/>
        <charset val="1"/>
      </rPr>
      <t xml:space="preserve">, n_latent_u: 10</t>
    </r>
  </si>
  <si>
    <t xml:space="preserve">/MrVI_hvg_human_cell_final/model22</t>
  </si>
  <si>
    <t xml:space="preserve">/MrVI_full_human_cell_final/model15</t>
  </si>
  <si>
    <t xml:space="preserve">/MrVI_full_human_cell_final/model23</t>
  </si>
  <si>
    <t xml:space="preserve">/MrVI_full_human_cell_final/model42</t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</si>
  <si>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256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50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3</t>
    </r>
    <r>
      <rPr>
        <sz val="8"/>
        <color rgb="FF1F1F1F"/>
        <rFont val="DejaVu Sans Mono"/>
        <family val="3"/>
        <charset val="1"/>
      </rPr>
      <t xml:space="preserve">, n_latent_u: 10</t>
    </r>
  </si>
  <si>
    <t xml:space="preserve">/MrVI_hvg_human_cell_final/model30</t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</si>
  <si>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256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40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2</t>
    </r>
    <r>
      <rPr>
        <sz val="8"/>
        <color rgb="FF1F1F1F"/>
        <rFont val="DejaVu Sans Mono"/>
        <family val="3"/>
        <charset val="1"/>
      </rPr>
      <t xml:space="preserve">, n_latent_u: 10</t>
    </r>
  </si>
  <si>
    <t xml:space="preserve">/MrVI_hvg_human_cell_final/model24</t>
  </si>
  <si>
    <t xml:space="preserve">/MrVI_full_human_cell_final/model24</t>
  </si>
  <si>
    <t xml:space="preserve">/MrVI_full_human_cell_final/model16</t>
  </si>
  <si>
    <t xml:space="preserve">/MrVI_full_human_cell_final/model34</t>
  </si>
  <si>
    <t xml:space="preserve">/MrVI_full_human_cell_final/model52</t>
  </si>
  <si>
    <t xml:space="preserve">/MrVI_hvg_human_cell_final/model53</t>
  </si>
  <si>
    <t xml:space="preserve">/MrVI_hvg_human_cell_final/model44</t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</si>
  <si>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128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10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1</t>
    </r>
    <r>
      <rPr>
        <sz val="8"/>
        <color rgb="FF1F1F1F"/>
        <rFont val="DejaVu Sans Mono"/>
        <family val="3"/>
        <charset val="1"/>
      </rPr>
      <t xml:space="preserve">, n_latent_u: 10</t>
    </r>
  </si>
  <si>
    <t xml:space="preserve">/MrVI_hvg_human_cell_final/model1</t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</si>
  <si>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128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10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3</t>
    </r>
    <r>
      <rPr>
        <sz val="8"/>
        <color rgb="FF1F1F1F"/>
        <rFont val="DejaVu Sans Mono"/>
        <family val="3"/>
        <charset val="1"/>
      </rPr>
      <t xml:space="preserve">, n_latent_u: 10</t>
    </r>
  </si>
  <si>
    <t xml:space="preserve">/MrVI_hvg_human_cell_final/model11</t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</si>
  <si>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256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10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1</t>
    </r>
    <r>
      <rPr>
        <sz val="8"/>
        <color rgb="FF1F1F1F"/>
        <rFont val="DejaVu Sans Mono"/>
        <family val="3"/>
        <charset val="1"/>
      </rPr>
      <t xml:space="preserve">, n_latent_u: 20</t>
    </r>
  </si>
  <si>
    <t xml:space="preserve">/MrVI_hvg_human_cell_final/model46</t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</si>
  <si>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128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20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3</t>
    </r>
    <r>
      <rPr>
        <sz val="8"/>
        <color rgb="FF1F1F1F"/>
        <rFont val="DejaVu Sans Mono"/>
        <family val="3"/>
        <charset val="1"/>
      </rPr>
      <t xml:space="preserve">, n_latent_u: 10</t>
    </r>
  </si>
  <si>
    <t xml:space="preserve">/MrVI_full_human_cell_final/model12</t>
  </si>
  <si>
    <t xml:space="preserve">/MrVI_full_human_cell_final/model35</t>
  </si>
  <si>
    <t xml:space="preserve">/MrVI_full_human_cell_final/model22</t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</si>
  <si>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128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10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1, n_latent_u: 20</t>
    </r>
  </si>
  <si>
    <t xml:space="preserve">/MrVI_full_human_cell_final/model31</t>
  </si>
  <si>
    <t xml:space="preserve">/MrVI_hvg_human_cell_final/model12</t>
  </si>
  <si>
    <t xml:space="preserve">/MrVI_hvg_human_cell_final/model6</t>
  </si>
  <si>
    <t xml:space="preserve">/MrVI_full_human_cell_final/model37</t>
  </si>
  <si>
    <t xml:space="preserve">/MrVI_full_human_cell_final/model25</t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</si>
  <si>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128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10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2</t>
    </r>
    <r>
      <rPr>
        <sz val="8"/>
        <color rgb="FF1F1F1F"/>
        <rFont val="DejaVu Sans Mono"/>
        <family val="3"/>
        <charset val="1"/>
      </rPr>
      <t xml:space="preserve">, n_latent_u: 20</t>
    </r>
  </si>
  <si>
    <t xml:space="preserve">/MrVI_hvg_human_cell_final/model36</t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</si>
  <si>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256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10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2</t>
    </r>
    <r>
      <rPr>
        <sz val="8"/>
        <color rgb="FF1F1F1F"/>
        <rFont val="DejaVu Sans Mono"/>
        <family val="3"/>
        <charset val="1"/>
      </rPr>
      <t xml:space="preserve">, n_latent_u: 10</t>
    </r>
  </si>
  <si>
    <t xml:space="preserve">/MrVI_hvg_human_cell_final/model21</t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</si>
  <si>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128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10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3</t>
    </r>
    <r>
      <rPr>
        <sz val="8"/>
        <color rgb="FF1F1F1F"/>
        <rFont val="DejaVu Sans Mono"/>
        <family val="3"/>
        <charset val="1"/>
      </rPr>
      <t xml:space="preserve">, n_latent_u: 20</t>
    </r>
  </si>
  <si>
    <t xml:space="preserve">/MrVI_hvg_human_cell_final/model41</t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</si>
  <si>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256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30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3</t>
    </r>
    <r>
      <rPr>
        <sz val="8"/>
        <color rgb="FF1F1F1F"/>
        <rFont val="DejaVu Sans Mono"/>
        <family val="3"/>
        <charset val="1"/>
      </rPr>
      <t xml:space="preserve">, n_latent_u: 10</t>
    </r>
  </si>
  <si>
    <t xml:space="preserve">/MrVI_full_human_cell_final/model28</t>
  </si>
  <si>
    <t xml:space="preserve">/MrVI_full_human_cell_final/model11</t>
  </si>
  <si>
    <t xml:space="preserve">/MrVI_full_human_cell_final/model36</t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</si>
  <si>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256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40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3</t>
    </r>
    <r>
      <rPr>
        <sz val="8"/>
        <color rgb="FF1F1F1F"/>
        <rFont val="DejaVu Sans Mono"/>
        <family val="3"/>
        <charset val="1"/>
      </rPr>
      <t xml:space="preserve">, n_latent_u: 20</t>
    </r>
  </si>
  <si>
    <t xml:space="preserve">/MrVI_hvg_human_cell_final/model59</t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</si>
  <si>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256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20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3</t>
    </r>
    <r>
      <rPr>
        <sz val="8"/>
        <color rgb="FF1F1F1F"/>
        <rFont val="DejaVu Sans Mono"/>
        <family val="3"/>
        <charset val="1"/>
      </rPr>
      <t xml:space="preserve">, n_latent_u: 20</t>
    </r>
  </si>
  <si>
    <t xml:space="preserve">/MrVI_full_human_cell_final/model57</t>
  </si>
  <si>
    <t xml:space="preserve">/MrVI_full_human_cell_final/model46</t>
  </si>
  <si>
    <t xml:space="preserve">/MrVI_full_human_cell_final/model41</t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</si>
  <si>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256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10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2</t>
    </r>
    <r>
      <rPr>
        <sz val="8"/>
        <color rgb="FF1F1F1F"/>
        <rFont val="DejaVu Sans Mono"/>
        <family val="3"/>
        <charset val="1"/>
      </rPr>
      <t xml:space="preserve">, n_latent_u: 20</t>
    </r>
  </si>
  <si>
    <t xml:space="preserve">/MrVI_hvg_human_cell_final/model51</t>
  </si>
  <si>
    <t xml:space="preserve">/MrVI_hvg_human_cell_final/model28</t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</si>
  <si>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128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10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1</t>
    </r>
    <r>
      <rPr>
        <sz val="8"/>
        <color rgb="FF1F1F1F"/>
        <rFont val="DejaVu Sans Mono"/>
        <family val="3"/>
        <charset val="1"/>
      </rPr>
      <t xml:space="preserve">, n_latent_u: 20</t>
    </r>
  </si>
  <si>
    <t xml:space="preserve">/MrVI_hvg_human_cell_final/model31</t>
  </si>
  <si>
    <t xml:space="preserve">/MrVI_full_human_cell_final/model30</t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</si>
  <si>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256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50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3</t>
    </r>
    <r>
      <rPr>
        <sz val="8"/>
        <color rgb="FF1F1F1F"/>
        <rFont val="DejaVu Sans Mono"/>
        <family val="3"/>
        <charset val="1"/>
      </rPr>
      <t xml:space="preserve">, n_latent_u: 20</t>
    </r>
  </si>
  <si>
    <t xml:space="preserve">/MrVI_full_human_cell_final/model60</t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</si>
  <si>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256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40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3</t>
    </r>
    <r>
      <rPr>
        <sz val="8"/>
        <color rgb="FF1F1F1F"/>
        <rFont val="DejaVu Sans Mono"/>
        <family val="3"/>
        <charset val="1"/>
      </rPr>
      <t xml:space="preserve">, n_latent_u: 10</t>
    </r>
  </si>
  <si>
    <t xml:space="preserve">/MrVI_hvg_human_cell_final/model29</t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</si>
  <si>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256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30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3</t>
    </r>
    <r>
      <rPr>
        <sz val="8"/>
        <color rgb="FF1F1F1F"/>
        <rFont val="DejaVu Sans Mono"/>
        <family val="3"/>
        <charset val="1"/>
      </rPr>
      <t xml:space="preserve">, n_latent_u: 20</t>
    </r>
  </si>
  <si>
    <t xml:space="preserve">/MrVI_full_human_cell_final/model58</t>
  </si>
  <si>
    <t xml:space="preserve">/MrVI_full_human_cell_final/model29</t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</si>
  <si>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256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10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3</t>
    </r>
    <r>
      <rPr>
        <sz val="8"/>
        <color rgb="FF1F1F1F"/>
        <rFont val="DejaVu Sans Mono"/>
        <family val="3"/>
        <charset val="1"/>
      </rPr>
      <t xml:space="preserve">, n_latent_u: 10</t>
    </r>
  </si>
  <si>
    <t xml:space="preserve">/MrVI_hvg_human_cell_final/model26</t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</si>
  <si>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256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20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3</t>
    </r>
    <r>
      <rPr>
        <sz val="8"/>
        <color rgb="FF1F1F1F"/>
        <rFont val="DejaVu Sans Mono"/>
        <family val="3"/>
        <charset val="1"/>
      </rPr>
      <t xml:space="preserve">, n_latent_u: 10</t>
    </r>
  </si>
  <si>
    <t xml:space="preserve">/MrVI_full_human_cell_final/model27</t>
  </si>
  <si>
    <t xml:space="preserve">/MrVI_hvg_human_cell_final/model60</t>
  </si>
  <si>
    <t xml:space="preserve">/MrVI_full_human_cell_final/model26</t>
  </si>
  <si>
    <t xml:space="preserve">/MrVI_full_human_cell_final/model14</t>
  </si>
  <si>
    <t xml:space="preserve">/MrVI_hvg_human_cell_final/model57</t>
  </si>
  <si>
    <t xml:space="preserve">/MrVI_hvg_human_cell_final/model58</t>
  </si>
  <si>
    <t xml:space="preserve">/MrVI_full_human_cell_final/model59</t>
  </si>
  <si>
    <t xml:space="preserve">/MrVI_full_human_cell_final/model21</t>
  </si>
  <si>
    <r>
      <rPr>
        <sz val="8"/>
        <color rgb="FF1F1F1F"/>
        <rFont val="DejaVu Sans Mono"/>
        <family val="3"/>
        <charset val="1"/>
      </rPr>
      <t xml:space="preserve">n_hidden: </t>
    </r>
    <r>
      <rPr>
        <b val="true"/>
        <sz val="8"/>
        <color rgb="FF008080"/>
        <rFont val="DejaVu Sans Mono"/>
        <family val="3"/>
        <charset val="1"/>
      </rPr>
      <t xml:space="preserve">256</t>
    </r>
    <r>
      <rPr>
        <sz val="8"/>
        <color rgb="FF1F1F1F"/>
        <rFont val="DejaVu Sans Mono"/>
        <family val="3"/>
        <charset val="1"/>
      </rPr>
      <t xml:space="preserve">, n_latent: </t>
    </r>
    <r>
      <rPr>
        <b val="true"/>
        <sz val="8"/>
        <color rgb="FF008080"/>
        <rFont val="DejaVu Sans Mono"/>
        <family val="3"/>
        <charset val="1"/>
      </rPr>
      <t xml:space="preserve">10</t>
    </r>
    <r>
      <rPr>
        <sz val="8"/>
        <color rgb="FF1F1F1F"/>
        <rFont val="DejaVu Sans Mono"/>
        <family val="3"/>
        <charset val="1"/>
      </rPr>
      <t xml:space="preserve">, n_layers: </t>
    </r>
    <r>
      <rPr>
        <b val="true"/>
        <sz val="8"/>
        <color rgb="FF008080"/>
        <rFont val="DejaVu Sans Mono"/>
        <family val="3"/>
        <charset val="1"/>
      </rPr>
      <t xml:space="preserve">3</t>
    </r>
    <r>
      <rPr>
        <sz val="8"/>
        <color rgb="FF1F1F1F"/>
        <rFont val="DejaVu Sans Mono"/>
        <family val="3"/>
        <charset val="1"/>
      </rPr>
      <t xml:space="preserve">, n_latent_u: 20</t>
    </r>
  </si>
  <si>
    <t xml:space="preserve">/MrVI_hvg_human_cell_final/model56</t>
  </si>
  <si>
    <t xml:space="preserve">/MrVI_hvg_human_cell_final/model27</t>
  </si>
  <si>
    <t xml:space="preserve">/MrVI_full_human_cell_final/model56</t>
  </si>
  <si>
    <t xml:space="preserve">/MrVI_full_human_cell_final/model51</t>
  </si>
  <si>
    <t xml:space="preserve">LDVAE</t>
  </si>
  <si>
    <t xml:space="preserve">NA</t>
  </si>
  <si>
    <t xml:space="preserve">Unintegrated</t>
  </si>
  <si>
    <t xml:space="preserve">X_RP</t>
  </si>
  <si>
    <t xml:space="preserve">X_PCA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</si>
</sst>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sz val="9"/>
      <color theme="1"/>
      <name val="Aptos"/>
      <family val="2"/>
      <charset val="1"/>
    </font>
    <font>
      <sz val="8"/>
      <color rgb="FF1F1F1F"/>
      <name val="DejaVu Sans Mono"/>
      <family val="3"/>
      <charset val="1"/>
    </font>
    <font>
      <b val="true"/>
      <sz val="8"/>
      <color rgb="FF008080"/>
      <name val="DejaVu Sans Mono"/>
      <family val="3"/>
      <charset val="1"/>
    </font>
    <font>
      <sz val="8"/>
      <color rgb="FFA31515"/>
      <name val="Courier New"/>
      <family val="3"/>
      <charset val="1"/>
    </font>
    <font>
      <sz val="8"/>
      <color rgb="FF1F1F1F"/>
      <name val="Roboto"/>
      <family val="0"/>
      <charset val="1"/>
    </font>
    <font>
      <sz val="8"/>
      <color rgb="FF1F1F1F"/>
      <name val="Courier New"/>
      <family val="3"/>
      <charset val="1"/>
    </font>
    <font>
      <sz val="10"/>
      <color theme="1"/>
      <name val="System-U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theme="4"/>
        <bgColor rgb="FF969696"/>
      </patternFill>
    </fill>
    <fill>
      <patternFill patternType="solid">
        <fgColor rgb="FFFF0000"/>
        <bgColor rgb="FFA31515"/>
      </patternFill>
    </fill>
    <fill>
      <patternFill patternType="solid">
        <fgColor theme="5" tint="0.5999"/>
        <bgColor rgb="FFC0C0C0"/>
      </patternFill>
    </fill>
    <fill>
      <patternFill patternType="solid">
        <fgColor theme="4" tint="0.5999"/>
        <bgColor rgb="FF99CCFF"/>
      </patternFill>
    </fill>
    <fill>
      <patternFill patternType="solid">
        <fgColor rgb="FFFF6D4B"/>
        <bgColor rgb="FFFF66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3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5" fillId="4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5" fillId="5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5" fillId="6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F1F1F"/>
          <bgColor rgb="FF000000"/>
        </patternFill>
      </fill>
    </dxf>
    <dxf>
      <fill>
        <patternFill patternType="solid">
          <fgColor rgb="FFA31515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BDD7EE"/>
          <bgColor rgb="FF000000"/>
        </patternFill>
      </fill>
    </dxf>
    <dxf>
      <fill>
        <patternFill patternType="solid">
          <fgColor rgb="FFFF6D4B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5B9BD5"/>
      <rgbColor rgb="FF993366"/>
      <rgbColor rgb="FFFFFFCC"/>
      <rgbColor rgb="FFCCFFFF"/>
      <rgbColor rgb="FF660066"/>
      <rgbColor rgb="FFFF6D4B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A31515"/>
      <rgbColor rgb="FF993366"/>
      <rgbColor rgb="FF333399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C8" activeCellId="0" sqref="C8"/>
    </sheetView>
  </sheetViews>
  <sheetFormatPr defaultColWidth="8.6796875" defaultRowHeight="14.25" zeroHeight="false" outlineLevelRow="0" outlineLevelCol="0"/>
  <cols>
    <col collapsed="false" customWidth="true" hidden="false" outlineLevel="0" max="1" min="1" style="1" width="8.56"/>
    <col collapsed="false" customWidth="true" hidden="false" outlineLevel="0" max="2" min="2" style="1" width="58.42"/>
    <col collapsed="false" customWidth="true" hidden="false" outlineLevel="0" max="3" min="3" style="1" width="20"/>
    <col collapsed="false" customWidth="true" hidden="false" outlineLevel="0" max="4" min="4" style="1" width="9.56"/>
    <col collapsed="false" customWidth="true" hidden="false" outlineLevel="0" max="5" min="5" style="1" width="18.11"/>
    <col collapsed="false" customWidth="true" hidden="false" outlineLevel="0" max="6" min="6" style="1" width="27"/>
    <col collapsed="false" customWidth="true" hidden="false" outlineLevel="0" max="7" min="7" style="1" width="18.11"/>
    <col collapsed="false" customWidth="true" hidden="false" outlineLevel="0" max="8" min="8" style="1" width="19.33"/>
    <col collapsed="false" customWidth="true" hidden="false" outlineLevel="0" max="9" min="9" style="1" width="20.66"/>
    <col collapsed="false" customWidth="true" hidden="false" outlineLevel="0" max="10" min="10" style="1" width="16.33"/>
    <col collapsed="false" customWidth="true" hidden="false" outlineLevel="0" max="11" min="11" style="1" width="15.66"/>
    <col collapsed="false" customWidth="true" hidden="false" outlineLevel="0" max="12" min="12" style="1" width="17.11"/>
    <col collapsed="false" customWidth="true" hidden="false" outlineLevel="0" max="13" min="13" style="1" width="18.67"/>
    <col collapsed="false" customWidth="true" hidden="false" outlineLevel="0" max="14" min="14" style="1" width="28.23"/>
    <col collapsed="false" customWidth="true" hidden="false" outlineLevel="0" max="15" min="15" style="1" width="32.11"/>
    <col collapsed="false" customWidth="true" hidden="false" outlineLevel="0" max="16" min="16" style="1" width="26"/>
    <col collapsed="false" customWidth="true" hidden="false" outlineLevel="0" max="17" min="17" style="1" width="19.33"/>
    <col collapsed="false" customWidth="true" hidden="false" outlineLevel="0" max="18" min="18" style="1" width="17.67"/>
    <col collapsed="false" customWidth="true" hidden="false" outlineLevel="0" max="19" min="19" style="1" width="28.33"/>
    <col collapsed="false" customWidth="true" hidden="false" outlineLevel="0" max="20" min="20" style="1" width="26"/>
    <col collapsed="false" customWidth="true" hidden="false" outlineLevel="0" max="21" min="21" style="1" width="25.11"/>
  </cols>
  <sheetData>
    <row r="1" customFormat="false" ht="14.25" hidden="false" customHeight="false" outlineLevel="0" collapsed="false">
      <c r="I1" s="2" t="s">
        <v>0</v>
      </c>
      <c r="J1" s="2"/>
      <c r="K1" s="2"/>
      <c r="L1" s="2"/>
      <c r="M1" s="2"/>
      <c r="N1" s="3" t="s">
        <v>1</v>
      </c>
      <c r="O1" s="3"/>
      <c r="P1" s="3"/>
      <c r="Q1" s="3"/>
      <c r="R1" s="3"/>
      <c r="S1" s="3"/>
      <c r="T1" s="3"/>
      <c r="U1" s="3"/>
    </row>
    <row r="2" s="8" customFormat="true" ht="39.55" hidden="false" customHeight="false" outlineLevel="0" collapsed="false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5" t="s">
        <v>9</v>
      </c>
      <c r="I2" s="6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7" t="s">
        <v>9</v>
      </c>
      <c r="O2" s="4" t="s">
        <v>14</v>
      </c>
      <c r="P2" s="4" t="s">
        <v>15</v>
      </c>
      <c r="Q2" s="4" t="s">
        <v>16</v>
      </c>
      <c r="R2" s="4" t="s">
        <v>17</v>
      </c>
      <c r="S2" s="4" t="s">
        <v>18</v>
      </c>
      <c r="T2" s="4" t="s">
        <v>19</v>
      </c>
      <c r="U2" s="4" t="s">
        <v>20</v>
      </c>
    </row>
    <row r="3" customFormat="false" ht="14.25" hidden="false" customHeight="false" outlineLevel="0" collapsed="false">
      <c r="A3" s="1" t="s">
        <v>21</v>
      </c>
      <c r="B3" s="9" t="s">
        <v>22</v>
      </c>
      <c r="C3" s="10" t="s">
        <v>23</v>
      </c>
      <c r="D3" s="10" t="s">
        <v>24</v>
      </c>
      <c r="E3" s="11" t="s">
        <v>25</v>
      </c>
      <c r="F3" s="1" t="n">
        <v>224.16</v>
      </c>
      <c r="G3" s="1" t="n">
        <v>0.18</v>
      </c>
      <c r="H3" s="10" t="n">
        <f aca="false">SUM(I3,N3)/2</f>
        <v>0.781047803571429</v>
      </c>
      <c r="I3" s="10" t="n">
        <f aca="false">SUM(J3:M3)/4</f>
        <v>0.78891175</v>
      </c>
      <c r="J3" s="1" t="n">
        <v>0.908194</v>
      </c>
      <c r="K3" s="1" t="n">
        <v>0.955471</v>
      </c>
      <c r="L3" s="1" t="n">
        <v>0.304071</v>
      </c>
      <c r="M3" s="1" t="n">
        <v>0.987911</v>
      </c>
      <c r="N3" s="10" t="n">
        <f aca="false">SUM(O3:U3)/7</f>
        <v>0.773183857142857</v>
      </c>
      <c r="O3" s="1" t="n">
        <v>0.815587</v>
      </c>
      <c r="P3" s="1" t="n">
        <v>0.824959</v>
      </c>
      <c r="Q3" s="1" t="n">
        <v>0.54112</v>
      </c>
      <c r="R3" s="1" t="n">
        <v>0.797972</v>
      </c>
      <c r="S3" s="1" t="n">
        <v>0.585256</v>
      </c>
      <c r="T3" s="1" t="n">
        <v>0.991492</v>
      </c>
      <c r="U3" s="1" t="n">
        <v>0.855901</v>
      </c>
    </row>
    <row r="4" customFormat="false" ht="14.25" hidden="false" customHeight="false" outlineLevel="0" collapsed="false">
      <c r="A4" s="1" t="s">
        <v>21</v>
      </c>
      <c r="B4" s="9" t="s">
        <v>26</v>
      </c>
      <c r="C4" s="10" t="s">
        <v>23</v>
      </c>
      <c r="D4" s="10" t="s">
        <v>24</v>
      </c>
      <c r="E4" s="11" t="s">
        <v>27</v>
      </c>
      <c r="F4" s="1" t="n">
        <v>250.08</v>
      </c>
      <c r="G4" s="1" t="n">
        <v>0.12</v>
      </c>
      <c r="H4" s="10" t="n">
        <f aca="false">SUM(I4,N4)/2</f>
        <v>0.779085357142857</v>
      </c>
      <c r="I4" s="10" t="n">
        <f aca="false">SUM(J4:M4)/4</f>
        <v>0.779794</v>
      </c>
      <c r="J4" s="1" t="n">
        <v>0.91114</v>
      </c>
      <c r="K4" s="1" t="n">
        <v>0.939897</v>
      </c>
      <c r="L4" s="1" t="n">
        <v>0.276171</v>
      </c>
      <c r="M4" s="1" t="n">
        <v>0.991968</v>
      </c>
      <c r="N4" s="10" t="n">
        <f aca="false">SUM(O4:U4)/7</f>
        <v>0.778376714285714</v>
      </c>
      <c r="O4" s="1" t="n">
        <v>0.825968</v>
      </c>
      <c r="P4" s="1" t="n">
        <v>0.836475</v>
      </c>
      <c r="Q4" s="1" t="n">
        <v>0.536004</v>
      </c>
      <c r="R4" s="1" t="n">
        <v>0.836154</v>
      </c>
      <c r="S4" s="1" t="n">
        <v>0.574121</v>
      </c>
      <c r="T4" s="1" t="n">
        <v>0.993936</v>
      </c>
      <c r="U4" s="1" t="n">
        <v>0.845979</v>
      </c>
    </row>
    <row r="5" customFormat="false" ht="14.25" hidden="false" customHeight="false" outlineLevel="0" collapsed="false">
      <c r="A5" s="1" t="s">
        <v>21</v>
      </c>
      <c r="B5" s="9" t="s">
        <v>28</v>
      </c>
      <c r="C5" s="10" t="s">
        <v>23</v>
      </c>
      <c r="D5" s="10" t="s">
        <v>24</v>
      </c>
      <c r="E5" s="11" t="s">
        <v>29</v>
      </c>
      <c r="F5" s="1" t="n">
        <v>214.79</v>
      </c>
      <c r="G5" s="1" t="n">
        <v>0.18</v>
      </c>
      <c r="H5" s="10" t="n">
        <f aca="false">SUM(I5,N5)/2</f>
        <v>0.778974982142857</v>
      </c>
      <c r="I5" s="10" t="n">
        <f aca="false">SUM(J5:M5)/4</f>
        <v>0.78077525</v>
      </c>
      <c r="J5" s="1" t="n">
        <v>0.901565</v>
      </c>
      <c r="K5" s="1" t="n">
        <v>0.948786</v>
      </c>
      <c r="L5" s="1" t="n">
        <v>0.287323</v>
      </c>
      <c r="M5" s="1" t="n">
        <v>0.985427</v>
      </c>
      <c r="N5" s="10" t="n">
        <f aca="false">SUM(O5:U5)/7</f>
        <v>0.777174714285714</v>
      </c>
      <c r="O5" s="1" t="n">
        <v>0.825753</v>
      </c>
      <c r="P5" s="1" t="n">
        <v>0.844782</v>
      </c>
      <c r="Q5" s="1" t="n">
        <v>0.539209</v>
      </c>
      <c r="R5" s="1" t="n">
        <v>0.79517</v>
      </c>
      <c r="S5" s="1" t="n">
        <v>0.58889</v>
      </c>
      <c r="T5" s="1" t="n">
        <v>0.991758</v>
      </c>
      <c r="U5" s="1" t="n">
        <v>0.854661</v>
      </c>
    </row>
    <row r="6" customFormat="false" ht="14.25" hidden="false" customHeight="false" outlineLevel="0" collapsed="false">
      <c r="A6" s="1" t="s">
        <v>21</v>
      </c>
      <c r="B6" s="9" t="s">
        <v>30</v>
      </c>
      <c r="C6" s="10" t="s">
        <v>23</v>
      </c>
      <c r="D6" s="10" t="s">
        <v>24</v>
      </c>
      <c r="E6" s="11" t="s">
        <v>31</v>
      </c>
      <c r="F6" s="1" t="n">
        <v>226.09</v>
      </c>
      <c r="G6" s="1" t="n">
        <v>0.18</v>
      </c>
      <c r="H6" s="10" t="n">
        <f aca="false">SUM(I6,N6)/2</f>
        <v>0.777708464285714</v>
      </c>
      <c r="I6" s="10" t="n">
        <f aca="false">SUM(J6:M6)/4</f>
        <v>0.7874295</v>
      </c>
      <c r="J6" s="1" t="n">
        <v>0.910038</v>
      </c>
      <c r="K6" s="1" t="n">
        <v>0.95392</v>
      </c>
      <c r="L6" s="1" t="n">
        <v>0.296439</v>
      </c>
      <c r="M6" s="1" t="n">
        <v>0.989321</v>
      </c>
      <c r="N6" s="10" t="n">
        <f aca="false">SUM(O6:U6)/7</f>
        <v>0.767987428571429</v>
      </c>
      <c r="O6" s="1" t="n">
        <v>0.820297</v>
      </c>
      <c r="P6" s="1" t="n">
        <v>0.784618</v>
      </c>
      <c r="Q6" s="1" t="n">
        <v>0.538975</v>
      </c>
      <c r="R6" s="1" t="n">
        <v>0.799919</v>
      </c>
      <c r="S6" s="1" t="n">
        <v>0.588705</v>
      </c>
      <c r="T6" s="1" t="n">
        <v>0.992114</v>
      </c>
      <c r="U6" s="1" t="n">
        <v>0.851284</v>
      </c>
    </row>
    <row r="7" customFormat="false" ht="14.25" hidden="false" customHeight="false" outlineLevel="0" collapsed="false">
      <c r="A7" s="1" t="s">
        <v>21</v>
      </c>
      <c r="B7" s="9" t="s">
        <v>32</v>
      </c>
      <c r="C7" s="10" t="s">
        <v>23</v>
      </c>
      <c r="D7" s="10" t="s">
        <v>24</v>
      </c>
      <c r="E7" s="11" t="s">
        <v>33</v>
      </c>
      <c r="F7" s="1" t="n">
        <v>407.9</v>
      </c>
      <c r="G7" s="1" t="n">
        <v>0.12</v>
      </c>
      <c r="H7" s="10" t="n">
        <f aca="false">SUM(I7,N7)/2</f>
        <v>0.777350071428572</v>
      </c>
      <c r="I7" s="10" t="n">
        <f aca="false">SUM(J7:M7)/4</f>
        <v>0.780456</v>
      </c>
      <c r="J7" s="1" t="n">
        <v>0.908592</v>
      </c>
      <c r="K7" s="1" t="n">
        <v>0.945792</v>
      </c>
      <c r="L7" s="1" t="n">
        <v>0.280446</v>
      </c>
      <c r="M7" s="1" t="n">
        <v>0.986994</v>
      </c>
      <c r="N7" s="10" t="n">
        <f aca="false">SUM(O7:U7)/7</f>
        <v>0.774244142857143</v>
      </c>
      <c r="O7" s="1" t="n">
        <v>0.830204</v>
      </c>
      <c r="P7" s="1" t="n">
        <v>0.840337</v>
      </c>
      <c r="Q7" s="1" t="n">
        <v>0.533632</v>
      </c>
      <c r="R7" s="1" t="n">
        <v>0.799811</v>
      </c>
      <c r="S7" s="1" t="n">
        <v>0.575567</v>
      </c>
      <c r="T7" s="1" t="n">
        <v>0.993479</v>
      </c>
      <c r="U7" s="1" t="n">
        <v>0.846679</v>
      </c>
    </row>
    <row r="8" customFormat="false" ht="14.25" hidden="false" customHeight="false" outlineLevel="0" collapsed="false">
      <c r="A8" s="1" t="s">
        <v>21</v>
      </c>
      <c r="B8" s="9" t="s">
        <v>34</v>
      </c>
      <c r="C8" s="10" t="s">
        <v>23</v>
      </c>
      <c r="D8" s="10" t="s">
        <v>35</v>
      </c>
      <c r="E8" s="11" t="s">
        <v>36</v>
      </c>
      <c r="F8" s="1" t="n">
        <v>262.26</v>
      </c>
      <c r="G8" s="1" t="n">
        <v>0.41</v>
      </c>
      <c r="H8" s="10" t="n">
        <f aca="false">SUM(I8,N8)/2</f>
        <v>0.777136125</v>
      </c>
      <c r="I8" s="10" t="n">
        <f aca="false">SUM(J8:M8)/4</f>
        <v>0.78088525</v>
      </c>
      <c r="J8" s="1" t="n">
        <v>0.919402</v>
      </c>
      <c r="K8" s="1" t="n">
        <v>0.921311</v>
      </c>
      <c r="L8" s="1" t="n">
        <v>0.293185</v>
      </c>
      <c r="M8" s="1" t="n">
        <v>0.989643</v>
      </c>
      <c r="N8" s="10" t="n">
        <f aca="false">SUM(O8:U8)/7</f>
        <v>0.773387</v>
      </c>
      <c r="O8" s="1" t="n">
        <v>0.832334</v>
      </c>
      <c r="P8" s="1" t="n">
        <v>0.851481</v>
      </c>
      <c r="Q8" s="1" t="n">
        <v>0.521721</v>
      </c>
      <c r="R8" s="1" t="n">
        <v>0.797065</v>
      </c>
      <c r="S8" s="1" t="n">
        <v>0.571363</v>
      </c>
      <c r="T8" s="1" t="n">
        <v>0.991056</v>
      </c>
      <c r="U8" s="1" t="n">
        <v>0.848689</v>
      </c>
    </row>
    <row r="9" customFormat="false" ht="14.25" hidden="false" customHeight="false" outlineLevel="0" collapsed="false">
      <c r="A9" s="1" t="s">
        <v>21</v>
      </c>
      <c r="B9" s="9" t="s">
        <v>37</v>
      </c>
      <c r="C9" s="10" t="s">
        <v>23</v>
      </c>
      <c r="D9" s="10" t="s">
        <v>24</v>
      </c>
      <c r="E9" s="11" t="s">
        <v>38</v>
      </c>
      <c r="F9" s="1" t="n">
        <v>223.12</v>
      </c>
      <c r="G9" s="1" t="n">
        <v>0.18</v>
      </c>
      <c r="H9" s="10" t="n">
        <f aca="false">SUM(I9,N9)/2</f>
        <v>0.775770785714286</v>
      </c>
      <c r="I9" s="10" t="n">
        <f aca="false">SUM(J9:M9)/4</f>
        <v>0.789107</v>
      </c>
      <c r="J9" s="1" t="n">
        <v>0.910323</v>
      </c>
      <c r="K9" s="1" t="n">
        <v>0.953764</v>
      </c>
      <c r="L9" s="1" t="n">
        <v>0.304035</v>
      </c>
      <c r="M9" s="1" t="n">
        <v>0.988306</v>
      </c>
      <c r="N9" s="10" t="n">
        <f aca="false">SUM(O9:U9)/7</f>
        <v>0.762434571428571</v>
      </c>
      <c r="O9" s="1" t="n">
        <v>0.79598</v>
      </c>
      <c r="P9" s="1" t="n">
        <v>0.749724</v>
      </c>
      <c r="Q9" s="1" t="n">
        <v>0.538428</v>
      </c>
      <c r="R9" s="1" t="n">
        <v>0.816031</v>
      </c>
      <c r="S9" s="1" t="n">
        <v>0.58419</v>
      </c>
      <c r="T9" s="1" t="n">
        <v>0.991734</v>
      </c>
      <c r="U9" s="1" t="n">
        <v>0.860955</v>
      </c>
    </row>
    <row r="10" customFormat="false" ht="14.25" hidden="false" customHeight="false" outlineLevel="0" collapsed="false">
      <c r="A10" s="1" t="s">
        <v>21</v>
      </c>
      <c r="B10" s="9" t="s">
        <v>39</v>
      </c>
      <c r="C10" s="10" t="s">
        <v>23</v>
      </c>
      <c r="D10" s="10" t="s">
        <v>24</v>
      </c>
      <c r="E10" s="11" t="s">
        <v>40</v>
      </c>
      <c r="F10" s="1" t="n">
        <v>182.76</v>
      </c>
      <c r="G10" s="1" t="n">
        <v>0.18</v>
      </c>
      <c r="H10" s="10" t="n">
        <f aca="false">SUM(I10,N10)/2</f>
        <v>0.775400785714286</v>
      </c>
      <c r="I10" s="10" t="n">
        <f aca="false">SUM(J10:M10)/4</f>
        <v>0.785545</v>
      </c>
      <c r="J10" s="1" t="n">
        <v>0.918441</v>
      </c>
      <c r="K10" s="1" t="n">
        <v>0.938061</v>
      </c>
      <c r="L10" s="1" t="n">
        <v>0.297942</v>
      </c>
      <c r="M10" s="1" t="n">
        <v>0.987736</v>
      </c>
      <c r="N10" s="10" t="n">
        <f aca="false">SUM(O10:U10)/7</f>
        <v>0.765256571428571</v>
      </c>
      <c r="O10" s="1" t="n">
        <v>0.818798</v>
      </c>
      <c r="P10" s="1" t="n">
        <v>0.814562</v>
      </c>
      <c r="Q10" s="1" t="n">
        <v>0.523215</v>
      </c>
      <c r="R10" s="1" t="n">
        <v>0.797259</v>
      </c>
      <c r="S10" s="1" t="n">
        <v>0.568167</v>
      </c>
      <c r="T10" s="1" t="n">
        <v>0.991135</v>
      </c>
      <c r="U10" s="1" t="n">
        <v>0.84366</v>
      </c>
    </row>
    <row r="11" customFormat="false" ht="14.25" hidden="false" customHeight="false" outlineLevel="0" collapsed="false">
      <c r="A11" s="1" t="s">
        <v>21</v>
      </c>
      <c r="B11" s="9" t="s">
        <v>41</v>
      </c>
      <c r="C11" s="10" t="s">
        <v>23</v>
      </c>
      <c r="D11" s="10" t="s">
        <v>24</v>
      </c>
      <c r="E11" s="11" t="s">
        <v>42</v>
      </c>
      <c r="F11" s="1" t="n">
        <v>359.42</v>
      </c>
      <c r="G11" s="1" t="n">
        <v>0.12</v>
      </c>
      <c r="H11" s="10" t="n">
        <f aca="false">SUM(I11,N11)/2</f>
        <v>0.775313589285714</v>
      </c>
      <c r="I11" s="10" t="n">
        <f aca="false">SUM(J11:M11)/4</f>
        <v>0.77572475</v>
      </c>
      <c r="J11" s="1" t="n">
        <v>0.904419</v>
      </c>
      <c r="K11" s="1" t="n">
        <v>0.93728</v>
      </c>
      <c r="L11" s="1" t="n">
        <v>0.272488</v>
      </c>
      <c r="M11" s="1" t="n">
        <v>0.988712</v>
      </c>
      <c r="N11" s="10" t="n">
        <f aca="false">SUM(O11:U11)/7</f>
        <v>0.774902428571429</v>
      </c>
      <c r="O11" s="1" t="n">
        <v>0.824924</v>
      </c>
      <c r="P11" s="1" t="n">
        <v>0.839168</v>
      </c>
      <c r="Q11" s="1" t="n">
        <v>0.536314</v>
      </c>
      <c r="R11" s="1" t="n">
        <v>0.805155</v>
      </c>
      <c r="S11" s="1" t="n">
        <v>0.578109</v>
      </c>
      <c r="T11" s="1" t="n">
        <v>0.993355</v>
      </c>
      <c r="U11" s="1" t="n">
        <v>0.847292</v>
      </c>
    </row>
    <row r="12" customFormat="false" ht="14.25" hidden="false" customHeight="false" outlineLevel="0" collapsed="false">
      <c r="A12" s="1" t="s">
        <v>21</v>
      </c>
      <c r="B12" s="9" t="s">
        <v>43</v>
      </c>
      <c r="C12" s="10" t="s">
        <v>23</v>
      </c>
      <c r="D12" s="10" t="s">
        <v>24</v>
      </c>
      <c r="E12" s="11" t="s">
        <v>44</v>
      </c>
      <c r="F12" s="1" t="n">
        <v>312.5</v>
      </c>
      <c r="G12" s="1" t="n">
        <v>0.19</v>
      </c>
      <c r="H12" s="10" t="n">
        <f aca="false">SUM(I12,N12)/2</f>
        <v>0.774592</v>
      </c>
      <c r="I12" s="10" t="n">
        <f aca="false">SUM(J12:M12)/4</f>
        <v>0.783444</v>
      </c>
      <c r="J12" s="1" t="n">
        <v>0.89671</v>
      </c>
      <c r="K12" s="1" t="n">
        <v>0.954677</v>
      </c>
      <c r="L12" s="1" t="n">
        <v>0.2995</v>
      </c>
      <c r="M12" s="1" t="n">
        <v>0.982889</v>
      </c>
      <c r="N12" s="10" t="n">
        <f aca="false">SUM(O12:U12)/7</f>
        <v>0.76574</v>
      </c>
      <c r="O12" s="1" t="n">
        <v>0.803198</v>
      </c>
      <c r="P12" s="1" t="n">
        <v>0.823493</v>
      </c>
      <c r="Q12" s="1" t="n">
        <v>0.545625</v>
      </c>
      <c r="R12" s="1" t="n">
        <v>0.738718</v>
      </c>
      <c r="S12" s="1" t="n">
        <v>0.596018</v>
      </c>
      <c r="T12" s="1" t="n">
        <v>0.992058</v>
      </c>
      <c r="U12" s="1" t="n">
        <v>0.86107</v>
      </c>
    </row>
    <row r="13" customFormat="false" ht="14.25" hidden="false" customHeight="false" outlineLevel="0" collapsed="false">
      <c r="A13" s="1" t="s">
        <v>21</v>
      </c>
      <c r="B13" s="9" t="s">
        <v>34</v>
      </c>
      <c r="C13" s="10" t="s">
        <v>23</v>
      </c>
      <c r="D13" s="10" t="s">
        <v>24</v>
      </c>
      <c r="E13" s="11" t="s">
        <v>45</v>
      </c>
      <c r="F13" s="1" t="n">
        <v>182.18</v>
      </c>
      <c r="G13" s="1" t="n">
        <v>0.18</v>
      </c>
      <c r="H13" s="10" t="n">
        <f aca="false">SUM(I13,N13)/2</f>
        <v>0.774383446428572</v>
      </c>
      <c r="I13" s="10" t="n">
        <f aca="false">SUM(J13:M13)/4</f>
        <v>0.79110375</v>
      </c>
      <c r="J13" s="1" t="n">
        <v>0.924947</v>
      </c>
      <c r="K13" s="1" t="n">
        <v>0.94135</v>
      </c>
      <c r="L13" s="1" t="n">
        <v>0.309292</v>
      </c>
      <c r="M13" s="1" t="n">
        <v>0.988826</v>
      </c>
      <c r="N13" s="10" t="n">
        <f aca="false">SUM(O13:U13)/7</f>
        <v>0.757663142857143</v>
      </c>
      <c r="O13" s="1" t="n">
        <v>0.815994</v>
      </c>
      <c r="P13" s="1" t="n">
        <v>0.773353</v>
      </c>
      <c r="Q13" s="1" t="n">
        <v>0.519073</v>
      </c>
      <c r="R13" s="1" t="n">
        <v>0.800798</v>
      </c>
      <c r="S13" s="1" t="n">
        <v>0.567652</v>
      </c>
      <c r="T13" s="1" t="n">
        <v>0.989671</v>
      </c>
      <c r="U13" s="1" t="n">
        <v>0.837101</v>
      </c>
    </row>
    <row r="14" customFormat="false" ht="14.25" hidden="false" customHeight="false" outlineLevel="0" collapsed="false">
      <c r="A14" s="1" t="s">
        <v>21</v>
      </c>
      <c r="B14" s="9" t="s">
        <v>32</v>
      </c>
      <c r="C14" s="10" t="s">
        <v>23</v>
      </c>
      <c r="D14" s="10" t="s">
        <v>35</v>
      </c>
      <c r="E14" s="11" t="s">
        <v>46</v>
      </c>
      <c r="F14" s="1" t="n">
        <v>505.54</v>
      </c>
      <c r="G14" s="1" t="n">
        <v>0.28</v>
      </c>
      <c r="H14" s="10" t="n">
        <f aca="false">SUM(I14,N14)/2</f>
        <v>0.773591375</v>
      </c>
      <c r="I14" s="10" t="n">
        <f aca="false">SUM(J14:M14)/4</f>
        <v>0.77675175</v>
      </c>
      <c r="J14" s="1" t="n">
        <v>0.906746</v>
      </c>
      <c r="K14" s="1" t="n">
        <v>0.9379</v>
      </c>
      <c r="L14" s="1" t="n">
        <v>0.274534</v>
      </c>
      <c r="M14" s="1" t="n">
        <v>0.987827</v>
      </c>
      <c r="N14" s="10" t="n">
        <f aca="false">SUM(O14:U14)/7</f>
        <v>0.770431</v>
      </c>
      <c r="O14" s="1" t="n">
        <v>0.824712</v>
      </c>
      <c r="P14" s="1" t="n">
        <v>0.833767</v>
      </c>
      <c r="Q14" s="1" t="n">
        <v>0.536144</v>
      </c>
      <c r="R14" s="1" t="n">
        <v>0.78481</v>
      </c>
      <c r="S14" s="1" t="n">
        <v>0.576464</v>
      </c>
      <c r="T14" s="1" t="n">
        <v>0.993562</v>
      </c>
      <c r="U14" s="1" t="n">
        <v>0.843558</v>
      </c>
    </row>
    <row r="15" customFormat="false" ht="14.25" hidden="false" customHeight="false" outlineLevel="0" collapsed="false">
      <c r="A15" s="1" t="s">
        <v>21</v>
      </c>
      <c r="B15" s="9" t="s">
        <v>47</v>
      </c>
      <c r="C15" s="10" t="s">
        <v>23</v>
      </c>
      <c r="D15" s="10" t="s">
        <v>24</v>
      </c>
      <c r="E15" s="11" t="s">
        <v>48</v>
      </c>
      <c r="F15" s="1" t="n">
        <v>241.63</v>
      </c>
      <c r="G15" s="1" t="n">
        <v>0.13</v>
      </c>
      <c r="H15" s="10" t="n">
        <f aca="false">SUM(I15,N15)/2</f>
        <v>0.772589053571429</v>
      </c>
      <c r="I15" s="10" t="n">
        <f aca="false">SUM(J15:M15)/4</f>
        <v>0.76855725</v>
      </c>
      <c r="J15" s="1" t="n">
        <v>0.887513</v>
      </c>
      <c r="K15" s="1" t="n">
        <v>0.940363</v>
      </c>
      <c r="L15" s="1" t="n">
        <v>0.265282</v>
      </c>
      <c r="M15" s="1" t="n">
        <v>0.981071</v>
      </c>
      <c r="N15" s="10" t="n">
        <f aca="false">SUM(O15:U15)/7</f>
        <v>0.776620857142857</v>
      </c>
      <c r="O15" s="1" t="n">
        <v>0.822913</v>
      </c>
      <c r="P15" s="1" t="n">
        <v>0.832116</v>
      </c>
      <c r="Q15" s="1" t="n">
        <v>0.555795</v>
      </c>
      <c r="R15" s="1" t="n">
        <v>0.808029</v>
      </c>
      <c r="S15" s="1" t="n">
        <v>0.595021</v>
      </c>
      <c r="T15" s="1" t="n">
        <v>0.994613</v>
      </c>
      <c r="U15" s="1" t="n">
        <v>0.827859</v>
      </c>
    </row>
    <row r="16" customFormat="false" ht="14.25" hidden="false" customHeight="false" outlineLevel="0" collapsed="false">
      <c r="A16" s="1" t="s">
        <v>21</v>
      </c>
      <c r="B16" s="9" t="s">
        <v>49</v>
      </c>
      <c r="C16" s="10" t="s">
        <v>23</v>
      </c>
      <c r="D16" s="10" t="s">
        <v>35</v>
      </c>
      <c r="E16" s="11" t="s">
        <v>50</v>
      </c>
      <c r="F16" s="1" t="n">
        <v>347.05</v>
      </c>
      <c r="G16" s="1" t="n">
        <v>0.28</v>
      </c>
      <c r="H16" s="10" t="n">
        <f aca="false">SUM(I16,N16)/2</f>
        <v>0.772461142857143</v>
      </c>
      <c r="I16" s="10" t="n">
        <f aca="false">SUM(J16:M16)/4</f>
        <v>0.770812</v>
      </c>
      <c r="J16" s="1" t="n">
        <v>0.883433</v>
      </c>
      <c r="K16" s="1" t="n">
        <v>0.938253</v>
      </c>
      <c r="L16" s="1" t="n">
        <v>0.275583</v>
      </c>
      <c r="M16" s="1" t="n">
        <v>0.985979</v>
      </c>
      <c r="N16" s="10" t="n">
        <f aca="false">SUM(O16:U16)/7</f>
        <v>0.774110285714286</v>
      </c>
      <c r="O16" s="1" t="n">
        <v>0.795456</v>
      </c>
      <c r="P16" s="1" t="n">
        <v>0.812105</v>
      </c>
      <c r="Q16" s="1" t="n">
        <v>0.555209</v>
      </c>
      <c r="R16" s="1" t="n">
        <v>0.800487</v>
      </c>
      <c r="S16" s="1" t="n">
        <v>0.598971</v>
      </c>
      <c r="T16" s="1" t="n">
        <v>0.994582</v>
      </c>
      <c r="U16" s="1" t="n">
        <v>0.861962</v>
      </c>
    </row>
    <row r="17" customFormat="false" ht="14.25" hidden="false" customHeight="false" outlineLevel="0" collapsed="false">
      <c r="A17" s="1" t="s">
        <v>21</v>
      </c>
      <c r="B17" s="9" t="s">
        <v>49</v>
      </c>
      <c r="C17" s="10" t="s">
        <v>23</v>
      </c>
      <c r="D17" s="10" t="s">
        <v>24</v>
      </c>
      <c r="E17" s="11" t="s">
        <v>51</v>
      </c>
      <c r="F17" s="1" t="n">
        <v>243.97</v>
      </c>
      <c r="G17" s="1" t="n">
        <v>0.13</v>
      </c>
      <c r="H17" s="10" t="n">
        <f aca="false">SUM(I17,N17)/2</f>
        <v>0.772126232142857</v>
      </c>
      <c r="I17" s="10" t="n">
        <f aca="false">SUM(J17:M17)/4</f>
        <v>0.76995875</v>
      </c>
      <c r="J17" s="1" t="n">
        <v>0.89031</v>
      </c>
      <c r="K17" s="1" t="n">
        <v>0.948101</v>
      </c>
      <c r="L17" s="1" t="n">
        <v>0.264543</v>
      </c>
      <c r="M17" s="1" t="n">
        <v>0.976881</v>
      </c>
      <c r="N17" s="10" t="n">
        <f aca="false">SUM(O17:U17)/7</f>
        <v>0.774293714285714</v>
      </c>
      <c r="O17" s="1" t="n">
        <v>0.819001</v>
      </c>
      <c r="P17" s="1" t="n">
        <v>0.829696</v>
      </c>
      <c r="Q17" s="1" t="n">
        <v>0.559244</v>
      </c>
      <c r="R17" s="1" t="n">
        <v>0.750197</v>
      </c>
      <c r="S17" s="1" t="n">
        <v>0.605157</v>
      </c>
      <c r="T17" s="1" t="n">
        <v>0.995241</v>
      </c>
      <c r="U17" s="1" t="n">
        <v>0.86152</v>
      </c>
    </row>
    <row r="18" customFormat="false" ht="14.25" hidden="false" customHeight="false" outlineLevel="0" collapsed="false">
      <c r="A18" s="1" t="s">
        <v>21</v>
      </c>
      <c r="B18" s="9" t="s">
        <v>30</v>
      </c>
      <c r="C18" s="10" t="s">
        <v>23</v>
      </c>
      <c r="D18" s="10" t="s">
        <v>35</v>
      </c>
      <c r="E18" s="11" t="s">
        <v>52</v>
      </c>
      <c r="F18" s="1" t="n">
        <v>270.97</v>
      </c>
      <c r="G18" s="1" t="n">
        <v>0.41</v>
      </c>
      <c r="H18" s="10" t="n">
        <f aca="false">SUM(I18,N18)/2</f>
        <v>0.771284821428572</v>
      </c>
      <c r="I18" s="10" t="n">
        <f aca="false">SUM(J18:M18)/4</f>
        <v>0.7813495</v>
      </c>
      <c r="J18" s="1" t="n">
        <v>0.904863</v>
      </c>
      <c r="K18" s="1" t="n">
        <v>0.943214</v>
      </c>
      <c r="L18" s="1" t="n">
        <v>0.288479</v>
      </c>
      <c r="M18" s="1" t="n">
        <v>0.988842</v>
      </c>
      <c r="N18" s="10" t="n">
        <f aca="false">SUM(O18:U18)/7</f>
        <v>0.761220142857143</v>
      </c>
      <c r="O18" s="1" t="n">
        <v>0.794199</v>
      </c>
      <c r="P18" s="1" t="n">
        <v>0.743718</v>
      </c>
      <c r="Q18" s="1" t="n">
        <v>0.546376</v>
      </c>
      <c r="R18" s="1" t="n">
        <v>0.805742</v>
      </c>
      <c r="S18" s="1" t="n">
        <v>0.593717</v>
      </c>
      <c r="T18" s="1" t="n">
        <v>0.993974</v>
      </c>
      <c r="U18" s="1" t="n">
        <v>0.850815</v>
      </c>
    </row>
    <row r="19" customFormat="false" ht="14.25" hidden="false" customHeight="false" outlineLevel="0" collapsed="false">
      <c r="A19" s="1" t="s">
        <v>21</v>
      </c>
      <c r="B19" s="9" t="s">
        <v>47</v>
      </c>
      <c r="C19" s="10" t="s">
        <v>23</v>
      </c>
      <c r="D19" s="10" t="s">
        <v>35</v>
      </c>
      <c r="E19" s="11" t="s">
        <v>53</v>
      </c>
      <c r="F19" s="1" t="n">
        <v>284.54</v>
      </c>
      <c r="G19" s="1" t="n">
        <v>0.28</v>
      </c>
      <c r="H19" s="10" t="n">
        <f aca="false">SUM(I19,N19)/2</f>
        <v>0.771059910714286</v>
      </c>
      <c r="I19" s="10" t="n">
        <f aca="false">SUM(J19:M19)/4</f>
        <v>0.76808025</v>
      </c>
      <c r="J19" s="1" t="n">
        <v>0.884504</v>
      </c>
      <c r="K19" s="1" t="n">
        <v>0.930771</v>
      </c>
      <c r="L19" s="1" t="n">
        <v>0.270436</v>
      </c>
      <c r="M19" s="1" t="n">
        <v>0.98661</v>
      </c>
      <c r="N19" s="10" t="n">
        <f aca="false">SUM(O19:U19)/7</f>
        <v>0.774039571428572</v>
      </c>
      <c r="O19" s="1" t="n">
        <v>0.808065</v>
      </c>
      <c r="P19" s="1" t="n">
        <v>0.809698</v>
      </c>
      <c r="Q19" s="1" t="n">
        <v>0.554783</v>
      </c>
      <c r="R19" s="1" t="n">
        <v>0.804206</v>
      </c>
      <c r="S19" s="1" t="n">
        <v>0.603581</v>
      </c>
      <c r="T19" s="1" t="n">
        <v>0.99526</v>
      </c>
      <c r="U19" s="1" t="n">
        <v>0.842684</v>
      </c>
    </row>
    <row r="20" customFormat="false" ht="14.25" hidden="false" customHeight="false" outlineLevel="0" collapsed="false">
      <c r="A20" s="1" t="s">
        <v>21</v>
      </c>
      <c r="B20" s="9" t="s">
        <v>28</v>
      </c>
      <c r="C20" s="10" t="s">
        <v>23</v>
      </c>
      <c r="D20" s="10" t="s">
        <v>35</v>
      </c>
      <c r="E20" s="11" t="s">
        <v>54</v>
      </c>
      <c r="F20" s="1" t="n">
        <v>249.92</v>
      </c>
      <c r="G20" s="1" t="n">
        <v>0.41</v>
      </c>
      <c r="H20" s="10" t="n">
        <f aca="false">SUM(I20,N20)/2</f>
        <v>0.770759142857143</v>
      </c>
      <c r="I20" s="10" t="n">
        <f aca="false">SUM(J20:M20)/4</f>
        <v>0.776058</v>
      </c>
      <c r="J20" s="1" t="n">
        <v>0.898763</v>
      </c>
      <c r="K20" s="1" t="n">
        <v>0.930956</v>
      </c>
      <c r="L20" s="1" t="n">
        <v>0.286523</v>
      </c>
      <c r="M20" s="1" t="n">
        <v>0.98799</v>
      </c>
      <c r="N20" s="10" t="n">
        <f aca="false">SUM(O20:U20)/7</f>
        <v>0.765460285714286</v>
      </c>
      <c r="O20" s="1" t="n">
        <v>0.804838</v>
      </c>
      <c r="P20" s="1" t="n">
        <v>0.76385</v>
      </c>
      <c r="Q20" s="1" t="n">
        <v>0.547147</v>
      </c>
      <c r="R20" s="1" t="n">
        <v>0.804919</v>
      </c>
      <c r="S20" s="1" t="n">
        <v>0.586771</v>
      </c>
      <c r="T20" s="1" t="n">
        <v>0.992619</v>
      </c>
      <c r="U20" s="1" t="n">
        <v>0.858078</v>
      </c>
    </row>
    <row r="21" customFormat="false" ht="14.25" hidden="false" customHeight="false" outlineLevel="0" collapsed="false">
      <c r="A21" s="1" t="s">
        <v>21</v>
      </c>
      <c r="B21" s="9" t="s">
        <v>55</v>
      </c>
      <c r="C21" s="10" t="s">
        <v>23</v>
      </c>
      <c r="D21" s="10" t="s">
        <v>35</v>
      </c>
      <c r="E21" s="11" t="s">
        <v>56</v>
      </c>
      <c r="F21" s="1" t="n">
        <v>251.07</v>
      </c>
      <c r="G21" s="1" t="n">
        <v>0.41</v>
      </c>
      <c r="H21" s="10" t="n">
        <f aca="false">SUM(I21,N21)/2</f>
        <v>0.770493446428571</v>
      </c>
      <c r="I21" s="10" t="n">
        <f aca="false">SUM(J21:M21)/4</f>
        <v>0.77646175</v>
      </c>
      <c r="J21" s="1" t="n">
        <v>0.886763</v>
      </c>
      <c r="K21" s="1" t="n">
        <v>0.950749</v>
      </c>
      <c r="L21" s="1" t="n">
        <v>0.286589</v>
      </c>
      <c r="M21" s="1" t="n">
        <v>0.981746</v>
      </c>
      <c r="N21" s="10" t="n">
        <f aca="false">SUM(O21:U21)/7</f>
        <v>0.764525142857143</v>
      </c>
      <c r="O21" s="1" t="n">
        <v>0.808848</v>
      </c>
      <c r="P21" s="1" t="n">
        <v>0.781137</v>
      </c>
      <c r="Q21" s="1" t="n">
        <v>0.544374</v>
      </c>
      <c r="R21" s="1" t="n">
        <v>0.781939</v>
      </c>
      <c r="S21" s="1" t="n">
        <v>0.577846</v>
      </c>
      <c r="T21" s="1" t="n">
        <v>0.993325</v>
      </c>
      <c r="U21" s="1" t="n">
        <v>0.864207</v>
      </c>
    </row>
    <row r="22" customFormat="false" ht="14.25" hidden="false" customHeight="false" outlineLevel="0" collapsed="false">
      <c r="A22" s="1" t="s">
        <v>21</v>
      </c>
      <c r="B22" s="9" t="s">
        <v>57</v>
      </c>
      <c r="C22" s="10" t="s">
        <v>23</v>
      </c>
      <c r="D22" s="10" t="s">
        <v>35</v>
      </c>
      <c r="E22" s="11" t="s">
        <v>58</v>
      </c>
      <c r="F22" s="1" t="n">
        <v>247.76</v>
      </c>
      <c r="G22" s="1" t="n">
        <v>0.28</v>
      </c>
      <c r="H22" s="10" t="n">
        <f aca="false">SUM(I22,N22)/2</f>
        <v>0.769058428571429</v>
      </c>
      <c r="I22" s="10" t="n">
        <f aca="false">SUM(J22:M22)/4</f>
        <v>0.765409</v>
      </c>
      <c r="J22" s="1" t="n">
        <v>0.872011</v>
      </c>
      <c r="K22" s="1" t="n">
        <v>0.942139</v>
      </c>
      <c r="L22" s="1" t="n">
        <v>0.278089</v>
      </c>
      <c r="M22" s="1" t="n">
        <v>0.969397</v>
      </c>
      <c r="N22" s="10" t="n">
        <f aca="false">SUM(O22:U22)/7</f>
        <v>0.772707857142857</v>
      </c>
      <c r="O22" s="1" t="n">
        <v>0.795779</v>
      </c>
      <c r="P22" s="1" t="n">
        <v>0.801918</v>
      </c>
      <c r="Q22" s="1" t="n">
        <v>0.56064</v>
      </c>
      <c r="R22" s="1" t="n">
        <v>0.771082</v>
      </c>
      <c r="S22" s="1" t="n">
        <v>0.624615</v>
      </c>
      <c r="T22" s="1" t="n">
        <v>0.995324</v>
      </c>
      <c r="U22" s="1" t="n">
        <v>0.859597</v>
      </c>
    </row>
    <row r="23" customFormat="false" ht="14.25" hidden="false" customHeight="false" outlineLevel="0" collapsed="false">
      <c r="A23" s="1" t="s">
        <v>21</v>
      </c>
      <c r="B23" s="9" t="s">
        <v>59</v>
      </c>
      <c r="C23" s="10" t="s">
        <v>23</v>
      </c>
      <c r="D23" s="10" t="s">
        <v>24</v>
      </c>
      <c r="E23" s="11" t="s">
        <v>60</v>
      </c>
      <c r="F23" s="1" t="n">
        <v>253.75</v>
      </c>
      <c r="G23" s="1" t="n">
        <v>0.13</v>
      </c>
      <c r="H23" s="10" t="n">
        <f aca="false">SUM(I23,N23)/2</f>
        <v>0.767677035714286</v>
      </c>
      <c r="I23" s="10" t="n">
        <f aca="false">SUM(J23:M23)/4</f>
        <v>0.7671365</v>
      </c>
      <c r="J23" s="1" t="n">
        <v>0.870136</v>
      </c>
      <c r="K23" s="1" t="n">
        <v>0.943812</v>
      </c>
      <c r="L23" s="1" t="n">
        <v>0.273004</v>
      </c>
      <c r="M23" s="1" t="n">
        <v>0.981594</v>
      </c>
      <c r="N23" s="10" t="n">
        <f aca="false">SUM(O23:U23)/7</f>
        <v>0.768217571428571</v>
      </c>
      <c r="O23" s="1" t="n">
        <v>0.79853</v>
      </c>
      <c r="P23" s="1" t="n">
        <v>0.814501</v>
      </c>
      <c r="Q23" s="1" t="n">
        <v>0.559044</v>
      </c>
      <c r="R23" s="1" t="n">
        <v>0.742256</v>
      </c>
      <c r="S23" s="1" t="n">
        <v>0.600234</v>
      </c>
      <c r="T23" s="1" t="n">
        <v>0.994553</v>
      </c>
      <c r="U23" s="1" t="n">
        <v>0.868405</v>
      </c>
    </row>
    <row r="24" customFormat="false" ht="14.25" hidden="false" customHeight="false" outlineLevel="0" collapsed="false">
      <c r="A24" s="1" t="s">
        <v>21</v>
      </c>
      <c r="B24" s="9" t="s">
        <v>26</v>
      </c>
      <c r="C24" s="10" t="s">
        <v>23</v>
      </c>
      <c r="D24" s="10" t="s">
        <v>35</v>
      </c>
      <c r="E24" s="11" t="s">
        <v>61</v>
      </c>
      <c r="F24" s="1" t="n">
        <v>558.54</v>
      </c>
      <c r="G24" s="1" t="n">
        <v>0.23</v>
      </c>
      <c r="H24" s="10" t="n">
        <f aca="false">SUM(I24,N24)/2</f>
        <v>0.767259125</v>
      </c>
      <c r="I24" s="10" t="n">
        <f aca="false">SUM(J24:M24)/4</f>
        <v>0.77669525</v>
      </c>
      <c r="J24" s="1" t="n">
        <v>0.907434</v>
      </c>
      <c r="K24" s="1" t="n">
        <v>0.937461</v>
      </c>
      <c r="L24" s="1" t="n">
        <v>0.273326</v>
      </c>
      <c r="M24" s="1" t="n">
        <v>0.98856</v>
      </c>
      <c r="N24" s="10" t="n">
        <f aca="false">SUM(O24:U24)/7</f>
        <v>0.757823</v>
      </c>
      <c r="O24" s="1" t="n">
        <v>0.818043</v>
      </c>
      <c r="P24" s="1" t="n">
        <v>0.778071</v>
      </c>
      <c r="Q24" s="1" t="n">
        <v>0.532951</v>
      </c>
      <c r="R24" s="1" t="n">
        <v>0.773356</v>
      </c>
      <c r="S24" s="1" t="n">
        <v>0.565558</v>
      </c>
      <c r="T24" s="1" t="n">
        <v>0.994206</v>
      </c>
      <c r="U24" s="1" t="n">
        <v>0.842576</v>
      </c>
    </row>
    <row r="25" customFormat="false" ht="14.25" hidden="false" customHeight="false" outlineLevel="0" collapsed="false">
      <c r="A25" s="1" t="s">
        <v>21</v>
      </c>
      <c r="B25" s="9" t="s">
        <v>62</v>
      </c>
      <c r="C25" s="10" t="s">
        <v>23</v>
      </c>
      <c r="D25" s="10" t="s">
        <v>24</v>
      </c>
      <c r="E25" s="11" t="s">
        <v>63</v>
      </c>
      <c r="F25" s="1" t="n">
        <v>253.76</v>
      </c>
      <c r="G25" s="1" t="n">
        <v>0.13</v>
      </c>
      <c r="H25" s="10" t="n">
        <f aca="false">SUM(I25,N25)/2</f>
        <v>0.766936839285714</v>
      </c>
      <c r="I25" s="10" t="n">
        <f aca="false">SUM(J25:M25)/4</f>
        <v>0.77296625</v>
      </c>
      <c r="J25" s="1" t="n">
        <v>0.890691</v>
      </c>
      <c r="K25" s="1" t="n">
        <v>0.943859</v>
      </c>
      <c r="L25" s="1" t="n">
        <v>0.270533</v>
      </c>
      <c r="M25" s="1" t="n">
        <v>0.986782</v>
      </c>
      <c r="N25" s="10" t="n">
        <f aca="false">SUM(O25:U25)/7</f>
        <v>0.760907428571429</v>
      </c>
      <c r="O25" s="1" t="n">
        <v>0.802366</v>
      </c>
      <c r="P25" s="1" t="n">
        <v>0.76385</v>
      </c>
      <c r="Q25" s="1" t="n">
        <v>0.557786</v>
      </c>
      <c r="R25" s="1" t="n">
        <v>0.752107</v>
      </c>
      <c r="S25" s="1" t="n">
        <v>0.59792</v>
      </c>
      <c r="T25" s="1" t="n">
        <v>0.994426</v>
      </c>
      <c r="U25" s="1" t="n">
        <v>0.857897</v>
      </c>
    </row>
    <row r="26" customFormat="false" ht="14.25" hidden="false" customHeight="false" outlineLevel="0" collapsed="false">
      <c r="A26" s="1" t="s">
        <v>21</v>
      </c>
      <c r="B26" s="9" t="s">
        <v>64</v>
      </c>
      <c r="C26" s="10" t="s">
        <v>23</v>
      </c>
      <c r="D26" s="10" t="s">
        <v>24</v>
      </c>
      <c r="E26" s="11" t="s">
        <v>65</v>
      </c>
      <c r="F26" s="1" t="n">
        <v>261.03</v>
      </c>
      <c r="G26" s="1" t="n">
        <v>0.19</v>
      </c>
      <c r="H26" s="10" t="n">
        <f aca="false">SUM(I26,N26)/2</f>
        <v>0.766450053571429</v>
      </c>
      <c r="I26" s="10" t="n">
        <f aca="false">SUM(J26:M26)/4</f>
        <v>0.78455425</v>
      </c>
      <c r="J26" s="1" t="n">
        <v>0.89828</v>
      </c>
      <c r="K26" s="1" t="n">
        <v>0.959093</v>
      </c>
      <c r="L26" s="1" t="n">
        <v>0.298432</v>
      </c>
      <c r="M26" s="1" t="n">
        <v>0.982412</v>
      </c>
      <c r="N26" s="10" t="n">
        <f aca="false">SUM(O26:U26)/7</f>
        <v>0.748345857142857</v>
      </c>
      <c r="O26" s="1" t="n">
        <v>0.774311</v>
      </c>
      <c r="P26" s="1" t="n">
        <v>0.72206</v>
      </c>
      <c r="Q26" s="1" t="n">
        <v>0.546807</v>
      </c>
      <c r="R26" s="1" t="n">
        <v>0.758464</v>
      </c>
      <c r="S26" s="1" t="n">
        <v>0.584157</v>
      </c>
      <c r="T26" s="1" t="n">
        <v>0.991584</v>
      </c>
      <c r="U26" s="1" t="n">
        <v>0.861038</v>
      </c>
    </row>
    <row r="27" customFormat="false" ht="14.25" hidden="false" customHeight="false" outlineLevel="0" collapsed="false">
      <c r="A27" s="1" t="s">
        <v>21</v>
      </c>
      <c r="B27" s="9" t="s">
        <v>37</v>
      </c>
      <c r="C27" s="10" t="s">
        <v>23</v>
      </c>
      <c r="D27" s="10" t="s">
        <v>35</v>
      </c>
      <c r="E27" s="11" t="s">
        <v>66</v>
      </c>
      <c r="F27" s="1" t="n">
        <v>264.8</v>
      </c>
      <c r="G27" s="1" t="n">
        <v>0.41</v>
      </c>
      <c r="H27" s="10" t="n">
        <f aca="false">SUM(I27,N27)/2</f>
        <v>0.766385928571429</v>
      </c>
      <c r="I27" s="10" t="n">
        <f aca="false">SUM(J27:M27)/4</f>
        <v>0.779312</v>
      </c>
      <c r="J27" s="1" t="n">
        <v>0.905514</v>
      </c>
      <c r="K27" s="1" t="n">
        <v>0.933292</v>
      </c>
      <c r="L27" s="1" t="n">
        <v>0.288263</v>
      </c>
      <c r="M27" s="1" t="n">
        <v>0.990179</v>
      </c>
      <c r="N27" s="10" t="n">
        <f aca="false">SUM(O27:U27)/7</f>
        <v>0.753459857142857</v>
      </c>
      <c r="O27" s="1" t="n">
        <v>0.806011</v>
      </c>
      <c r="P27" s="1" t="n">
        <v>0.760478</v>
      </c>
      <c r="Q27" s="1" t="n">
        <v>0.541196</v>
      </c>
      <c r="R27" s="1" t="n">
        <v>0.721925</v>
      </c>
      <c r="S27" s="1" t="n">
        <v>0.595206</v>
      </c>
      <c r="T27" s="1" t="n">
        <v>0.992599</v>
      </c>
      <c r="U27" s="1" t="n">
        <v>0.856804</v>
      </c>
    </row>
    <row r="28" customFormat="false" ht="14.25" hidden="false" customHeight="false" outlineLevel="0" collapsed="false">
      <c r="A28" s="1" t="s">
        <v>21</v>
      </c>
      <c r="B28" s="9" t="s">
        <v>67</v>
      </c>
      <c r="C28" s="10" t="s">
        <v>23</v>
      </c>
      <c r="D28" s="10" t="s">
        <v>24</v>
      </c>
      <c r="E28" s="11" t="s">
        <v>68</v>
      </c>
      <c r="F28" s="1" t="n">
        <v>199.6</v>
      </c>
      <c r="G28" s="1" t="n">
        <v>0.18</v>
      </c>
      <c r="H28" s="10" t="n">
        <f aca="false">SUM(I28,N28)/2</f>
        <v>0.766205232142857</v>
      </c>
      <c r="I28" s="10" t="n">
        <f aca="false">SUM(J28:M28)/4</f>
        <v>0.77211075</v>
      </c>
      <c r="J28" s="1" t="n">
        <v>0.909193</v>
      </c>
      <c r="K28" s="1" t="n">
        <v>0.920242</v>
      </c>
      <c r="L28" s="1" t="n">
        <v>0.268019</v>
      </c>
      <c r="M28" s="1" t="n">
        <v>0.990989</v>
      </c>
      <c r="N28" s="10" t="n">
        <f aca="false">SUM(O28:U28)/7</f>
        <v>0.760299714285714</v>
      </c>
      <c r="O28" s="1" t="n">
        <v>0.801061</v>
      </c>
      <c r="P28" s="1" t="n">
        <v>0.751568</v>
      </c>
      <c r="Q28" s="1" t="n">
        <v>0.5345</v>
      </c>
      <c r="R28" s="1" t="n">
        <v>0.820469</v>
      </c>
      <c r="S28" s="1" t="n">
        <v>0.577725</v>
      </c>
      <c r="T28" s="1" t="n">
        <v>0.993623</v>
      </c>
      <c r="U28" s="1" t="n">
        <v>0.843152</v>
      </c>
    </row>
    <row r="29" customFormat="false" ht="14.25" hidden="false" customHeight="false" outlineLevel="0" collapsed="false">
      <c r="A29" s="1" t="s">
        <v>21</v>
      </c>
      <c r="B29" s="9" t="s">
        <v>69</v>
      </c>
      <c r="C29" s="10" t="s">
        <v>23</v>
      </c>
      <c r="D29" s="10" t="s">
        <v>24</v>
      </c>
      <c r="E29" s="11" t="s">
        <v>70</v>
      </c>
      <c r="F29" s="1" t="n">
        <v>276.29</v>
      </c>
      <c r="G29" s="1" t="n">
        <v>0.19</v>
      </c>
      <c r="H29" s="10" t="n">
        <f aca="false">SUM(I29,N29)/2</f>
        <v>0.766123857142857</v>
      </c>
      <c r="I29" s="10" t="n">
        <f aca="false">SUM(J29:M29)/4</f>
        <v>0.781007</v>
      </c>
      <c r="J29" s="1" t="n">
        <v>0.89555</v>
      </c>
      <c r="K29" s="1" t="n">
        <v>0.953019</v>
      </c>
      <c r="L29" s="1" t="n">
        <v>0.291583</v>
      </c>
      <c r="M29" s="1" t="n">
        <v>0.983876</v>
      </c>
      <c r="N29" s="10" t="n">
        <f aca="false">SUM(O29:U29)/7</f>
        <v>0.751240714285714</v>
      </c>
      <c r="O29" s="1" t="n">
        <v>0.782581</v>
      </c>
      <c r="P29" s="1" t="n">
        <v>0.732593</v>
      </c>
      <c r="Q29" s="1" t="n">
        <v>0.544215</v>
      </c>
      <c r="R29" s="1" t="n">
        <v>0.77145</v>
      </c>
      <c r="S29" s="1" t="n">
        <v>0.584172</v>
      </c>
      <c r="T29" s="1" t="n">
        <v>0.991315</v>
      </c>
      <c r="U29" s="1" t="n">
        <v>0.852359</v>
      </c>
    </row>
    <row r="30" customFormat="false" ht="14.25" hidden="false" customHeight="false" outlineLevel="0" collapsed="false">
      <c r="A30" s="1" t="s">
        <v>21</v>
      </c>
      <c r="B30" s="9" t="s">
        <v>69</v>
      </c>
      <c r="C30" s="10" t="s">
        <v>23</v>
      </c>
      <c r="D30" s="10" t="s">
        <v>35</v>
      </c>
      <c r="E30" s="11" t="s">
        <v>71</v>
      </c>
      <c r="F30" s="1" t="n">
        <v>251.3</v>
      </c>
      <c r="G30" s="1" t="n">
        <v>0.41</v>
      </c>
      <c r="H30" s="10" t="n">
        <f aca="false">SUM(I30,N30)/2</f>
        <v>0.765920410714286</v>
      </c>
      <c r="I30" s="10" t="n">
        <f aca="false">SUM(J30:M30)/4</f>
        <v>0.77928025</v>
      </c>
      <c r="J30" s="1" t="n">
        <v>0.890979</v>
      </c>
      <c r="K30" s="1" t="n">
        <v>0.952102</v>
      </c>
      <c r="L30" s="1" t="n">
        <v>0.29472</v>
      </c>
      <c r="M30" s="1" t="n">
        <v>0.97932</v>
      </c>
      <c r="N30" s="10" t="n">
        <f aca="false">SUM(O30:U30)/7</f>
        <v>0.752560571428571</v>
      </c>
      <c r="O30" s="1" t="n">
        <v>0.792602</v>
      </c>
      <c r="P30" s="1" t="n">
        <v>0.76096</v>
      </c>
      <c r="Q30" s="1" t="n">
        <v>0.548449</v>
      </c>
      <c r="R30" s="1" t="n">
        <v>0.715579</v>
      </c>
      <c r="S30" s="1" t="n">
        <v>0.590434</v>
      </c>
      <c r="T30" s="1" t="n">
        <v>0.992749</v>
      </c>
      <c r="U30" s="1" t="n">
        <v>0.867151</v>
      </c>
    </row>
    <row r="31" customFormat="false" ht="13.5" hidden="false" customHeight="true" outlineLevel="0" collapsed="false">
      <c r="A31" s="1" t="s">
        <v>21</v>
      </c>
      <c r="B31" s="9" t="s">
        <v>72</v>
      </c>
      <c r="C31" s="10" t="s">
        <v>23</v>
      </c>
      <c r="D31" s="10" t="s">
        <v>24</v>
      </c>
      <c r="E31" s="11" t="s">
        <v>73</v>
      </c>
      <c r="F31" s="1" t="n">
        <v>230.43</v>
      </c>
      <c r="G31" s="1" t="n">
        <v>0.13</v>
      </c>
      <c r="H31" s="10" t="n">
        <f aca="false">SUM(I31,N31)/2</f>
        <v>0.765297339285714</v>
      </c>
      <c r="I31" s="10" t="n">
        <f aca="false">SUM(J31:M31)/4</f>
        <v>0.76677525</v>
      </c>
      <c r="J31" s="1" t="n">
        <v>0.875967</v>
      </c>
      <c r="K31" s="1" t="n">
        <v>0.947543</v>
      </c>
      <c r="L31" s="1" t="n">
        <v>0.274931</v>
      </c>
      <c r="M31" s="1" t="n">
        <v>0.96866</v>
      </c>
      <c r="N31" s="10" t="n">
        <f aca="false">SUM(O31:U31)/7</f>
        <v>0.763819428571429</v>
      </c>
      <c r="O31" s="1" t="n">
        <v>0.788974</v>
      </c>
      <c r="P31" s="1" t="n">
        <v>0.746281</v>
      </c>
      <c r="Q31" s="1" t="n">
        <v>0.557573</v>
      </c>
      <c r="R31" s="1" t="n">
        <v>0.772003</v>
      </c>
      <c r="S31" s="1" t="n">
        <v>0.614645</v>
      </c>
      <c r="T31" s="1" t="n">
        <v>0.994699</v>
      </c>
      <c r="U31" s="1" t="n">
        <v>0.872561</v>
      </c>
    </row>
    <row r="32" customFormat="false" ht="15" hidden="false" customHeight="true" outlineLevel="0" collapsed="false">
      <c r="A32" s="1" t="s">
        <v>21</v>
      </c>
      <c r="B32" s="9" t="s">
        <v>74</v>
      </c>
      <c r="C32" s="10" t="s">
        <v>23</v>
      </c>
      <c r="D32" s="10" t="s">
        <v>24</v>
      </c>
      <c r="E32" s="11" t="s">
        <v>75</v>
      </c>
      <c r="F32" s="1" t="n">
        <v>265.52</v>
      </c>
      <c r="G32" s="1" t="n">
        <v>0.13</v>
      </c>
      <c r="H32" s="10" t="n">
        <f aca="false">SUM(I32,N32)/2</f>
        <v>0.7648315</v>
      </c>
      <c r="I32" s="10" t="n">
        <f aca="false">SUM(J32:M32)/4</f>
        <v>0.759269</v>
      </c>
      <c r="J32" s="1" t="n">
        <v>0.868612</v>
      </c>
      <c r="K32" s="1" t="n">
        <v>0.943544</v>
      </c>
      <c r="L32" s="1" t="n">
        <v>0.276297</v>
      </c>
      <c r="M32" s="1" t="n">
        <v>0.948623</v>
      </c>
      <c r="N32" s="10" t="n">
        <f aca="false">SUM(O32:U32)/7</f>
        <v>0.770394</v>
      </c>
      <c r="O32" s="1" t="n">
        <v>0.792371</v>
      </c>
      <c r="P32" s="1" t="n">
        <v>0.800982</v>
      </c>
      <c r="Q32" s="1" t="n">
        <v>0.565791</v>
      </c>
      <c r="R32" s="1" t="n">
        <v>0.770122</v>
      </c>
      <c r="S32" s="1" t="n">
        <v>0.600472</v>
      </c>
      <c r="T32" s="1" t="n">
        <v>0.994652</v>
      </c>
      <c r="U32" s="1" t="n">
        <v>0.868368</v>
      </c>
    </row>
    <row r="33" customFormat="false" ht="14.25" hidden="false" customHeight="false" outlineLevel="0" collapsed="false">
      <c r="A33" s="1" t="s">
        <v>21</v>
      </c>
      <c r="B33" s="9" t="s">
        <v>41</v>
      </c>
      <c r="C33" s="10" t="s">
        <v>23</v>
      </c>
      <c r="D33" s="10" t="s">
        <v>35</v>
      </c>
      <c r="E33" s="11" t="s">
        <v>76</v>
      </c>
      <c r="F33" s="1" t="n">
        <v>404.8</v>
      </c>
      <c r="G33" s="1" t="n">
        <v>0.28</v>
      </c>
      <c r="H33" s="10" t="n">
        <f aca="false">SUM(I33,N33)/2</f>
        <v>0.764603464285714</v>
      </c>
      <c r="I33" s="10" t="n">
        <f aca="false">SUM(J33:M33)/4</f>
        <v>0.7681375</v>
      </c>
      <c r="J33" s="1" t="n">
        <v>0.901811</v>
      </c>
      <c r="K33" s="1" t="n">
        <v>0.931171</v>
      </c>
      <c r="L33" s="1" t="n">
        <v>0.26108</v>
      </c>
      <c r="M33" s="1" t="n">
        <v>0.978488</v>
      </c>
      <c r="N33" s="10" t="n">
        <f aca="false">SUM(O33:U33)/7</f>
        <v>0.761069428571429</v>
      </c>
      <c r="O33" s="1" t="n">
        <v>0.803383</v>
      </c>
      <c r="P33" s="1" t="n">
        <v>0.748169</v>
      </c>
      <c r="Q33" s="1" t="n">
        <v>0.538008</v>
      </c>
      <c r="R33" s="1" t="n">
        <v>0.804247</v>
      </c>
      <c r="S33" s="1" t="n">
        <v>0.587468</v>
      </c>
      <c r="T33" s="1" t="n">
        <v>0.99403</v>
      </c>
      <c r="U33" s="1" t="n">
        <v>0.852181</v>
      </c>
    </row>
    <row r="34" customFormat="false" ht="14.25" hidden="false" customHeight="false" outlineLevel="0" collapsed="false">
      <c r="A34" s="1" t="s">
        <v>21</v>
      </c>
      <c r="B34" s="9" t="s">
        <v>77</v>
      </c>
      <c r="C34" s="10" t="s">
        <v>23</v>
      </c>
      <c r="D34" s="10" t="s">
        <v>24</v>
      </c>
      <c r="E34" s="11" t="s">
        <v>78</v>
      </c>
      <c r="F34" s="1" t="n">
        <v>253.68</v>
      </c>
      <c r="G34" s="1" t="n">
        <v>0.13</v>
      </c>
      <c r="H34" s="10" t="n">
        <f aca="false">SUM(I34,N34)/2</f>
        <v>0.764331589285714</v>
      </c>
      <c r="I34" s="10" t="n">
        <f aca="false">SUM(J34:M34)/4</f>
        <v>0.76796875</v>
      </c>
      <c r="J34" s="1" t="n">
        <v>0.88331</v>
      </c>
      <c r="K34" s="1" t="n">
        <v>0.940109</v>
      </c>
      <c r="L34" s="1" t="n">
        <v>0.265616</v>
      </c>
      <c r="M34" s="1" t="n">
        <v>0.98284</v>
      </c>
      <c r="N34" s="10" t="n">
        <f aca="false">SUM(O34:U34)/7</f>
        <v>0.760694428571428</v>
      </c>
      <c r="O34" s="1" t="n">
        <v>0.789723</v>
      </c>
      <c r="P34" s="1" t="n">
        <v>0.750328</v>
      </c>
      <c r="Q34" s="1" t="n">
        <v>0.558139</v>
      </c>
      <c r="R34" s="1" t="n">
        <v>0.792986</v>
      </c>
      <c r="S34" s="1" t="n">
        <v>0.587581</v>
      </c>
      <c r="T34" s="1" t="n">
        <v>0.994515</v>
      </c>
      <c r="U34" s="1" t="n">
        <v>0.851589</v>
      </c>
    </row>
    <row r="35" customFormat="false" ht="14.25" hidden="false" customHeight="false" outlineLevel="0" collapsed="false">
      <c r="A35" s="1" t="s">
        <v>21</v>
      </c>
      <c r="B35" s="9" t="s">
        <v>72</v>
      </c>
      <c r="C35" s="10" t="s">
        <v>23</v>
      </c>
      <c r="D35" s="10" t="s">
        <v>35</v>
      </c>
      <c r="E35" s="11" t="s">
        <v>79</v>
      </c>
      <c r="F35" s="1" t="n">
        <v>276.79</v>
      </c>
      <c r="G35" s="1" t="n">
        <v>0.28</v>
      </c>
      <c r="H35" s="10" t="n">
        <f aca="false">SUM(I35,N35)/2</f>
        <v>0.764259232142857</v>
      </c>
      <c r="I35" s="10" t="n">
        <f aca="false">SUM(J35:M35)/4</f>
        <v>0.76631975</v>
      </c>
      <c r="J35" s="1" t="n">
        <v>0.870145</v>
      </c>
      <c r="K35" s="1" t="n">
        <v>0.945651</v>
      </c>
      <c r="L35" s="1" t="n">
        <v>0.273981</v>
      </c>
      <c r="M35" s="1" t="n">
        <v>0.975502</v>
      </c>
      <c r="N35" s="10" t="n">
        <f aca="false">SUM(O35:U35)/7</f>
        <v>0.762198714285714</v>
      </c>
      <c r="O35" s="1" t="n">
        <v>0.789748</v>
      </c>
      <c r="P35" s="1" t="n">
        <v>0.811579</v>
      </c>
      <c r="Q35" s="1" t="n">
        <v>0.554118</v>
      </c>
      <c r="R35" s="1" t="n">
        <v>0.721226</v>
      </c>
      <c r="S35" s="1" t="n">
        <v>0.602021</v>
      </c>
      <c r="T35" s="1" t="n">
        <v>0.99393</v>
      </c>
      <c r="U35" s="1" t="n">
        <v>0.862769</v>
      </c>
    </row>
    <row r="36" customFormat="false" ht="14.25" hidden="false" customHeight="false" outlineLevel="0" collapsed="false">
      <c r="A36" s="1" t="s">
        <v>21</v>
      </c>
      <c r="B36" s="9" t="s">
        <v>80</v>
      </c>
      <c r="C36" s="10" t="s">
        <v>23</v>
      </c>
      <c r="D36" s="10" t="s">
        <v>24</v>
      </c>
      <c r="E36" s="11" t="s">
        <v>81</v>
      </c>
      <c r="F36" s="1" t="n">
        <v>237.07</v>
      </c>
      <c r="G36" s="1" t="n">
        <v>0.13</v>
      </c>
      <c r="H36" s="10" t="n">
        <f aca="false">SUM(I36,N36)/2</f>
        <v>0.76390925</v>
      </c>
      <c r="I36" s="10" t="n">
        <f aca="false">SUM(J36:M36)/4</f>
        <v>0.7652245</v>
      </c>
      <c r="J36" s="1" t="n">
        <v>0.873869</v>
      </c>
      <c r="K36" s="1" t="n">
        <v>0.944796</v>
      </c>
      <c r="L36" s="1" t="n">
        <v>0.271748</v>
      </c>
      <c r="M36" s="1" t="n">
        <v>0.970485</v>
      </c>
      <c r="N36" s="10" t="n">
        <f aca="false">SUM(O36:U36)/7</f>
        <v>0.762594</v>
      </c>
      <c r="O36" s="1" t="n">
        <v>0.789262</v>
      </c>
      <c r="P36" s="1" t="n">
        <v>0.749385</v>
      </c>
      <c r="Q36" s="1" t="n">
        <v>0.567377</v>
      </c>
      <c r="R36" s="1" t="n">
        <v>0.75262</v>
      </c>
      <c r="S36" s="1" t="n">
        <v>0.622861</v>
      </c>
      <c r="T36" s="1" t="n">
        <v>0.995642</v>
      </c>
      <c r="U36" s="1" t="n">
        <v>0.861011</v>
      </c>
    </row>
    <row r="37" customFormat="false" ht="14.25" hidden="false" customHeight="false" outlineLevel="0" collapsed="false">
      <c r="A37" s="1" t="s">
        <v>21</v>
      </c>
      <c r="B37" s="9" t="s">
        <v>55</v>
      </c>
      <c r="C37" s="10" t="s">
        <v>23</v>
      </c>
      <c r="D37" s="10" t="s">
        <v>24</v>
      </c>
      <c r="E37" s="11" t="s">
        <v>82</v>
      </c>
      <c r="F37" s="1" t="n">
        <v>273.02</v>
      </c>
      <c r="G37" s="1" t="n">
        <v>0.19</v>
      </c>
      <c r="H37" s="10" t="n">
        <f aca="false">SUM(I37,N37)/2</f>
        <v>0.763547107142857</v>
      </c>
      <c r="I37" s="10" t="n">
        <f aca="false">SUM(J37:M37)/4</f>
        <v>0.7833745</v>
      </c>
      <c r="J37" s="1" t="n">
        <v>0.897525</v>
      </c>
      <c r="K37" s="1" t="n">
        <v>0.956376</v>
      </c>
      <c r="L37" s="1" t="n">
        <v>0.296785</v>
      </c>
      <c r="M37" s="1" t="n">
        <v>0.982812</v>
      </c>
      <c r="N37" s="10" t="n">
        <f aca="false">SUM(O37:U37)/7</f>
        <v>0.743719714285714</v>
      </c>
      <c r="O37" s="1" t="n">
        <v>0.776924</v>
      </c>
      <c r="P37" s="1" t="n">
        <v>0.729844</v>
      </c>
      <c r="Q37" s="1" t="n">
        <v>0.545323</v>
      </c>
      <c r="R37" s="1" t="n">
        <v>0.714727</v>
      </c>
      <c r="S37" s="1" t="n">
        <v>0.586937</v>
      </c>
      <c r="T37" s="1" t="n">
        <v>0.991429</v>
      </c>
      <c r="U37" s="1" t="n">
        <v>0.860854</v>
      </c>
    </row>
    <row r="38" customFormat="false" ht="14.25" hidden="false" customHeight="false" outlineLevel="0" collapsed="false">
      <c r="A38" s="1" t="s">
        <v>21</v>
      </c>
      <c r="B38" s="9" t="s">
        <v>62</v>
      </c>
      <c r="C38" s="10" t="s">
        <v>23</v>
      </c>
      <c r="D38" s="10" t="s">
        <v>35</v>
      </c>
      <c r="E38" s="11" t="s">
        <v>83</v>
      </c>
      <c r="F38" s="1" t="n">
        <v>318.72</v>
      </c>
      <c r="G38" s="1" t="n">
        <v>0.28</v>
      </c>
      <c r="H38" s="10" t="n">
        <f aca="false">SUM(I38,N38)/2</f>
        <v>0.763380642857143</v>
      </c>
      <c r="I38" s="10" t="n">
        <f aca="false">SUM(J38:M38)/4</f>
        <v>0.771356</v>
      </c>
      <c r="J38" s="1" t="n">
        <v>0.883621</v>
      </c>
      <c r="K38" s="1" t="n">
        <v>0.932843</v>
      </c>
      <c r="L38" s="1" t="n">
        <v>0.283535</v>
      </c>
      <c r="M38" s="1" t="n">
        <v>0.985425</v>
      </c>
      <c r="N38" s="10" t="n">
        <f aca="false">SUM(O38:U38)/7</f>
        <v>0.755405285714286</v>
      </c>
      <c r="O38" s="1" t="n">
        <v>0.78824</v>
      </c>
      <c r="P38" s="1" t="n">
        <v>0.738004</v>
      </c>
      <c r="Q38" s="1" t="n">
        <v>0.553068</v>
      </c>
      <c r="R38" s="1" t="n">
        <v>0.751128</v>
      </c>
      <c r="S38" s="1" t="n">
        <v>0.603869</v>
      </c>
      <c r="T38" s="1" t="n">
        <v>0.994644</v>
      </c>
      <c r="U38" s="1" t="n">
        <v>0.858884</v>
      </c>
    </row>
    <row r="39" customFormat="false" ht="14.25" hidden="false" customHeight="false" outlineLevel="0" collapsed="false">
      <c r="A39" s="1" t="s">
        <v>21</v>
      </c>
      <c r="B39" s="9" t="s">
        <v>43</v>
      </c>
      <c r="C39" s="10" t="s">
        <v>23</v>
      </c>
      <c r="D39" s="10" t="s">
        <v>35</v>
      </c>
      <c r="E39" s="11" t="s">
        <v>84</v>
      </c>
      <c r="F39" s="1" t="n">
        <v>250.99</v>
      </c>
      <c r="G39" s="1" t="n">
        <v>0.41</v>
      </c>
      <c r="H39" s="10" t="n">
        <f aca="false">SUM(I39,N39)/2</f>
        <v>0.762483946428571</v>
      </c>
      <c r="I39" s="10" t="n">
        <f aca="false">SUM(J39:M39)/4</f>
        <v>0.77734475</v>
      </c>
      <c r="J39" s="1" t="n">
        <v>0.890704</v>
      </c>
      <c r="K39" s="1" t="n">
        <v>0.953498</v>
      </c>
      <c r="L39" s="1" t="n">
        <v>0.291876</v>
      </c>
      <c r="M39" s="1" t="n">
        <v>0.973301</v>
      </c>
      <c r="N39" s="10" t="n">
        <f aca="false">SUM(O39:U39)/7</f>
        <v>0.747623142857143</v>
      </c>
      <c r="O39" s="1" t="n">
        <v>0.773768</v>
      </c>
      <c r="P39" s="1" t="n">
        <v>0.727507</v>
      </c>
      <c r="Q39" s="1" t="n">
        <v>0.552263</v>
      </c>
      <c r="R39" s="1" t="n">
        <v>0.727477</v>
      </c>
      <c r="S39" s="1" t="n">
        <v>0.599635</v>
      </c>
      <c r="T39" s="1" t="n">
        <v>0.992478</v>
      </c>
      <c r="U39" s="1" t="n">
        <v>0.860234</v>
      </c>
    </row>
    <row r="40" customFormat="false" ht="14.25" hidden="false" customHeight="false" outlineLevel="0" collapsed="false">
      <c r="A40" s="1" t="s">
        <v>21</v>
      </c>
      <c r="B40" s="9" t="s">
        <v>85</v>
      </c>
      <c r="C40" s="10" t="s">
        <v>23</v>
      </c>
      <c r="D40" s="10" t="s">
        <v>24</v>
      </c>
      <c r="E40" s="11" t="s">
        <v>86</v>
      </c>
      <c r="F40" s="1" t="n">
        <v>218.82</v>
      </c>
      <c r="G40" s="1" t="n">
        <v>0.18</v>
      </c>
      <c r="H40" s="10" t="n">
        <f aca="false">SUM(I40,N40)/2</f>
        <v>0.760873285714286</v>
      </c>
      <c r="I40" s="10" t="n">
        <f aca="false">SUM(J40:M40)/4</f>
        <v>0.757038</v>
      </c>
      <c r="J40" s="1" t="n">
        <v>0.895025</v>
      </c>
      <c r="K40" s="1" t="n">
        <v>0.901968</v>
      </c>
      <c r="L40" s="1" t="n">
        <v>0.242122</v>
      </c>
      <c r="M40" s="1" t="n">
        <v>0.989037</v>
      </c>
      <c r="N40" s="10" t="n">
        <f aca="false">SUM(O40:U40)/7</f>
        <v>0.764708571428572</v>
      </c>
      <c r="O40" s="1" t="n">
        <v>0.805359</v>
      </c>
      <c r="P40" s="1" t="n">
        <v>0.762479</v>
      </c>
      <c r="Q40" s="1" t="n">
        <v>0.547715</v>
      </c>
      <c r="R40" s="1" t="n">
        <v>0.804702</v>
      </c>
      <c r="S40" s="1" t="n">
        <v>0.596591</v>
      </c>
      <c r="T40" s="1" t="n">
        <v>0.994785</v>
      </c>
      <c r="U40" s="1" t="n">
        <v>0.841329</v>
      </c>
    </row>
    <row r="41" customFormat="false" ht="14.25" hidden="false" customHeight="false" outlineLevel="0" collapsed="false">
      <c r="A41" s="1" t="s">
        <v>21</v>
      </c>
      <c r="B41" s="9" t="s">
        <v>57</v>
      </c>
      <c r="C41" s="10" t="s">
        <v>23</v>
      </c>
      <c r="D41" s="10" t="s">
        <v>24</v>
      </c>
      <c r="E41" s="11" t="s">
        <v>87</v>
      </c>
      <c r="F41" s="1" t="n">
        <v>232.8</v>
      </c>
      <c r="G41" s="1" t="n">
        <v>0.13</v>
      </c>
      <c r="H41" s="10" t="n">
        <f aca="false">SUM(I41,N41)/2</f>
        <v>0.760095142857143</v>
      </c>
      <c r="I41" s="10" t="n">
        <f aca="false">SUM(J41:M41)/4</f>
        <v>0.76447</v>
      </c>
      <c r="J41" s="1" t="n">
        <v>0.870635</v>
      </c>
      <c r="K41" s="1" t="n">
        <v>0.941085</v>
      </c>
      <c r="L41" s="1" t="n">
        <v>0.276739</v>
      </c>
      <c r="M41" s="1" t="n">
        <v>0.969421</v>
      </c>
      <c r="N41" s="10" t="n">
        <f aca="false">SUM(O41:U41)/7</f>
        <v>0.755720285714286</v>
      </c>
      <c r="O41" s="1" t="n">
        <v>0.791877</v>
      </c>
      <c r="P41" s="1" t="n">
        <v>0.811255</v>
      </c>
      <c r="Q41" s="1" t="n">
        <v>0.566133</v>
      </c>
      <c r="R41" s="1" t="n">
        <v>0.742617</v>
      </c>
      <c r="S41" s="1" t="n">
        <v>0.604952</v>
      </c>
      <c r="T41" s="1" t="n">
        <v>0.995511</v>
      </c>
      <c r="U41" s="1" t="n">
        <v>0.777697</v>
      </c>
    </row>
    <row r="42" customFormat="false" ht="14.25" hidden="false" customHeight="false" outlineLevel="0" collapsed="false">
      <c r="A42" s="1" t="s">
        <v>21</v>
      </c>
      <c r="B42" s="9" t="s">
        <v>67</v>
      </c>
      <c r="C42" s="10" t="s">
        <v>23</v>
      </c>
      <c r="D42" s="10" t="s">
        <v>35</v>
      </c>
      <c r="E42" s="11" t="s">
        <v>88</v>
      </c>
      <c r="F42" s="1" t="n">
        <v>271.33</v>
      </c>
      <c r="G42" s="1" t="n">
        <v>0.41</v>
      </c>
      <c r="H42" s="10" t="n">
        <f aca="false">SUM(I42,N42)/2</f>
        <v>0.759875892857143</v>
      </c>
      <c r="I42" s="10" t="n">
        <f aca="false">SUM(J42:M42)/4</f>
        <v>0.7603545</v>
      </c>
      <c r="J42" s="1" t="n">
        <v>0.906024</v>
      </c>
      <c r="K42" s="1" t="n">
        <v>0.889365</v>
      </c>
      <c r="L42" s="1" t="n">
        <v>0.256752</v>
      </c>
      <c r="M42" s="1" t="n">
        <v>0.989277</v>
      </c>
      <c r="N42" s="10" t="n">
        <f aca="false">SUM(O42:U42)/7</f>
        <v>0.759397285714286</v>
      </c>
      <c r="O42" s="1" t="n">
        <v>0.797063</v>
      </c>
      <c r="P42" s="1" t="n">
        <v>0.748178</v>
      </c>
      <c r="Q42" s="1" t="n">
        <v>0.533758</v>
      </c>
      <c r="R42" s="1" t="n">
        <v>0.803499</v>
      </c>
      <c r="S42" s="1" t="n">
        <v>0.595122</v>
      </c>
      <c r="T42" s="1" t="n">
        <v>0.992728</v>
      </c>
      <c r="U42" s="1" t="n">
        <v>0.845433</v>
      </c>
    </row>
    <row r="43" customFormat="false" ht="14.25" hidden="false" customHeight="false" outlineLevel="0" collapsed="false">
      <c r="A43" s="1" t="s">
        <v>21</v>
      </c>
      <c r="B43" s="9" t="s">
        <v>85</v>
      </c>
      <c r="C43" s="10" t="s">
        <v>23</v>
      </c>
      <c r="D43" s="10" t="s">
        <v>35</v>
      </c>
      <c r="E43" s="11" t="s">
        <v>89</v>
      </c>
      <c r="F43" s="1" t="n">
        <v>243.62</v>
      </c>
      <c r="G43" s="1" t="n">
        <v>0.41</v>
      </c>
      <c r="H43" s="10" t="n">
        <f aca="false">SUM(I43,N43)/2</f>
        <v>0.759493535714286</v>
      </c>
      <c r="I43" s="10" t="n">
        <f aca="false">SUM(J43:M43)/4</f>
        <v>0.7436655</v>
      </c>
      <c r="J43" s="1" t="n">
        <v>0.893413</v>
      </c>
      <c r="K43" s="1" t="n">
        <v>0.870861</v>
      </c>
      <c r="L43" s="1" t="n">
        <v>0.221134</v>
      </c>
      <c r="M43" s="1" t="n">
        <v>0.989254</v>
      </c>
      <c r="N43" s="10" t="n">
        <f aca="false">SUM(O43:U43)/7</f>
        <v>0.775321571428571</v>
      </c>
      <c r="O43" s="1" t="n">
        <v>0.807385</v>
      </c>
      <c r="P43" s="1" t="n">
        <v>0.771664</v>
      </c>
      <c r="Q43" s="1" t="n">
        <v>0.549879</v>
      </c>
      <c r="R43" s="1" t="n">
        <v>0.838164</v>
      </c>
      <c r="S43" s="1" t="n">
        <v>0.610055</v>
      </c>
      <c r="T43" s="1" t="n">
        <v>0.994936</v>
      </c>
      <c r="U43" s="1" t="n">
        <v>0.855168</v>
      </c>
    </row>
    <row r="44" customFormat="false" ht="14.25" hidden="false" customHeight="false" outlineLevel="0" collapsed="false">
      <c r="A44" s="1" t="s">
        <v>21</v>
      </c>
      <c r="B44" s="9" t="s">
        <v>90</v>
      </c>
      <c r="C44" s="10" t="s">
        <v>23</v>
      </c>
      <c r="D44" s="10" t="s">
        <v>24</v>
      </c>
      <c r="E44" s="11" t="s">
        <v>91</v>
      </c>
      <c r="F44" s="1" t="n">
        <v>214.34</v>
      </c>
      <c r="G44" s="1" t="n">
        <v>0.16</v>
      </c>
      <c r="H44" s="10" t="n">
        <f aca="false">SUM(I44,N44)/2</f>
        <v>0.7588065</v>
      </c>
      <c r="I44" s="10" t="n">
        <f aca="false">SUM(J44:M44)/4</f>
        <v>0.734127</v>
      </c>
      <c r="J44" s="1" t="n">
        <v>0.864727</v>
      </c>
      <c r="K44" s="1" t="n">
        <v>0.881782</v>
      </c>
      <c r="L44" s="1" t="n">
        <v>0.215152</v>
      </c>
      <c r="M44" s="1" t="n">
        <v>0.974847</v>
      </c>
      <c r="N44" s="10" t="n">
        <f aca="false">SUM(O44:U44)/7</f>
        <v>0.783486</v>
      </c>
      <c r="O44" s="1" t="n">
        <v>0.822911</v>
      </c>
      <c r="P44" s="1" t="n">
        <v>0.776041</v>
      </c>
      <c r="Q44" s="1" t="n">
        <v>0.574756</v>
      </c>
      <c r="R44" s="1" t="n">
        <v>0.842222</v>
      </c>
      <c r="S44" s="1" t="n">
        <v>0.628127</v>
      </c>
      <c r="T44" s="1" t="n">
        <v>0.995996</v>
      </c>
      <c r="U44" s="1" t="n">
        <v>0.844349</v>
      </c>
    </row>
    <row r="45" customFormat="false" ht="14.25" hidden="false" customHeight="false" outlineLevel="0" collapsed="false">
      <c r="A45" s="1" t="s">
        <v>21</v>
      </c>
      <c r="B45" s="9" t="s">
        <v>64</v>
      </c>
      <c r="C45" s="10" t="s">
        <v>23</v>
      </c>
      <c r="D45" s="10" t="s">
        <v>35</v>
      </c>
      <c r="E45" s="11" t="s">
        <v>92</v>
      </c>
      <c r="F45" s="1" t="n">
        <v>251.22</v>
      </c>
      <c r="G45" s="1" t="n">
        <v>0.41</v>
      </c>
      <c r="H45" s="10" t="n">
        <f aca="false">SUM(I45,N45)/2</f>
        <v>0.757107517857143</v>
      </c>
      <c r="I45" s="10" t="n">
        <f aca="false">SUM(J45:M45)/4</f>
        <v>0.77726375</v>
      </c>
      <c r="J45" s="1" t="n">
        <v>0.886277</v>
      </c>
      <c r="K45" s="1" t="n">
        <v>0.948343</v>
      </c>
      <c r="L45" s="1" t="n">
        <v>0.290824</v>
      </c>
      <c r="M45" s="1" t="n">
        <v>0.983611</v>
      </c>
      <c r="N45" s="10" t="n">
        <f aca="false">SUM(O45:U45)/7</f>
        <v>0.736951285714286</v>
      </c>
      <c r="O45" s="1" t="n">
        <v>0.764294</v>
      </c>
      <c r="P45" s="1" t="n">
        <v>0.626096</v>
      </c>
      <c r="Q45" s="1" t="n">
        <v>0.546068</v>
      </c>
      <c r="R45" s="1" t="n">
        <v>0.780952</v>
      </c>
      <c r="S45" s="1" t="n">
        <v>0.588345</v>
      </c>
      <c r="T45" s="1" t="n">
        <v>0.991569</v>
      </c>
      <c r="U45" s="1" t="n">
        <v>0.861335</v>
      </c>
    </row>
    <row r="46" customFormat="false" ht="14.25" hidden="false" customHeight="false" outlineLevel="0" collapsed="false">
      <c r="A46" s="1" t="s">
        <v>21</v>
      </c>
      <c r="B46" s="9" t="s">
        <v>39</v>
      </c>
      <c r="C46" s="10" t="s">
        <v>23</v>
      </c>
      <c r="D46" s="10" t="s">
        <v>35</v>
      </c>
      <c r="E46" s="11" t="s">
        <v>93</v>
      </c>
      <c r="F46" s="1" t="n">
        <v>302.12</v>
      </c>
      <c r="G46" s="1" t="n">
        <v>0.41</v>
      </c>
      <c r="H46" s="10" t="n">
        <f aca="false">SUM(I46,N46)/2</f>
        <v>0.756120303571429</v>
      </c>
      <c r="I46" s="10" t="n">
        <f aca="false">SUM(J46:M46)/4</f>
        <v>0.77056875</v>
      </c>
      <c r="J46" s="1" t="n">
        <v>0.916682</v>
      </c>
      <c r="K46" s="1" t="n">
        <v>0.909942</v>
      </c>
      <c r="L46" s="1" t="n">
        <v>0.263221</v>
      </c>
      <c r="M46" s="1" t="n">
        <v>0.99243</v>
      </c>
      <c r="N46" s="10" t="n">
        <f aca="false">SUM(O46:U46)/7</f>
        <v>0.741671857142857</v>
      </c>
      <c r="O46" s="1" t="n">
        <v>0.798774</v>
      </c>
      <c r="P46" s="1" t="n">
        <v>0.671255</v>
      </c>
      <c r="Q46" s="1" t="n">
        <v>0.52619</v>
      </c>
      <c r="R46" s="1" t="n">
        <v>0.787346</v>
      </c>
      <c r="S46" s="1" t="n">
        <v>0.572847</v>
      </c>
      <c r="T46" s="1" t="n">
        <v>0.993332</v>
      </c>
      <c r="U46" s="1" t="n">
        <v>0.841959</v>
      </c>
    </row>
    <row r="47" customFormat="false" ht="14.25" hidden="false" customHeight="false" outlineLevel="0" collapsed="false">
      <c r="A47" s="1" t="s">
        <v>21</v>
      </c>
      <c r="B47" s="9" t="s">
        <v>22</v>
      </c>
      <c r="C47" s="10" t="s">
        <v>23</v>
      </c>
      <c r="D47" s="10" t="s">
        <v>35</v>
      </c>
      <c r="E47" s="11" t="s">
        <v>94</v>
      </c>
      <c r="F47" s="1" t="n">
        <v>495.38</v>
      </c>
      <c r="G47" s="1" t="n">
        <v>0.31</v>
      </c>
      <c r="H47" s="10" t="n">
        <f aca="false">SUM(I47,N47)/2</f>
        <v>0.755864482142857</v>
      </c>
      <c r="I47" s="10" t="n">
        <f aca="false">SUM(J47:M47)/4</f>
        <v>0.78025125</v>
      </c>
      <c r="J47" s="1" t="n">
        <v>0.902875</v>
      </c>
      <c r="K47" s="1" t="n">
        <v>0.936391</v>
      </c>
      <c r="L47" s="1" t="n">
        <v>0.29254</v>
      </c>
      <c r="M47" s="1" t="n">
        <v>0.989199</v>
      </c>
      <c r="N47" s="10" t="n">
        <f aca="false">SUM(O47:U47)/7</f>
        <v>0.731477714285714</v>
      </c>
      <c r="O47" s="1" t="n">
        <v>0.775021</v>
      </c>
      <c r="P47" s="1" t="n">
        <v>0.612899</v>
      </c>
      <c r="Q47" s="1" t="n">
        <v>0.544683</v>
      </c>
      <c r="R47" s="1" t="n">
        <v>0.741373</v>
      </c>
      <c r="S47" s="1" t="n">
        <v>0.59004</v>
      </c>
      <c r="T47" s="1" t="n">
        <v>0.992854</v>
      </c>
      <c r="U47" s="1" t="n">
        <v>0.863474</v>
      </c>
    </row>
    <row r="48" customFormat="false" ht="14.25" hidden="false" customHeight="false" outlineLevel="0" collapsed="false">
      <c r="A48" s="1" t="s">
        <v>21</v>
      </c>
      <c r="B48" s="9" t="s">
        <v>59</v>
      </c>
      <c r="C48" s="10" t="s">
        <v>23</v>
      </c>
      <c r="D48" s="10" t="s">
        <v>35</v>
      </c>
      <c r="E48" s="11" t="s">
        <v>95</v>
      </c>
      <c r="F48" s="1" t="n">
        <v>298</v>
      </c>
      <c r="G48" s="1" t="n">
        <v>0.28</v>
      </c>
      <c r="H48" s="10" t="n">
        <f aca="false">SUM(I48,N48)/2</f>
        <v>0.754097232142857</v>
      </c>
      <c r="I48" s="10" t="n">
        <f aca="false">SUM(J48:M48)/4</f>
        <v>0.76978675</v>
      </c>
      <c r="J48" s="1" t="n">
        <v>0.871262</v>
      </c>
      <c r="K48" s="1" t="n">
        <v>0.950415</v>
      </c>
      <c r="L48" s="1" t="n">
        <v>0.279556</v>
      </c>
      <c r="M48" s="1" t="n">
        <v>0.977914</v>
      </c>
      <c r="N48" s="10" t="n">
        <f aca="false">SUM(O48:U48)/7</f>
        <v>0.738407714285714</v>
      </c>
      <c r="O48" s="1" t="n">
        <v>0.758888</v>
      </c>
      <c r="P48" s="1" t="n">
        <v>0.621683</v>
      </c>
      <c r="Q48" s="1" t="n">
        <v>0.562064</v>
      </c>
      <c r="R48" s="1" t="n">
        <v>0.757222</v>
      </c>
      <c r="S48" s="1" t="n">
        <v>0.615475</v>
      </c>
      <c r="T48" s="1" t="n">
        <v>0.994923</v>
      </c>
      <c r="U48" s="1" t="n">
        <v>0.858599</v>
      </c>
    </row>
    <row r="49" customFormat="false" ht="14.25" hidden="false" customHeight="false" outlineLevel="0" collapsed="false">
      <c r="A49" s="1" t="s">
        <v>21</v>
      </c>
      <c r="B49" s="9" t="s">
        <v>80</v>
      </c>
      <c r="C49" s="10" t="s">
        <v>23</v>
      </c>
      <c r="D49" s="10" t="s">
        <v>35</v>
      </c>
      <c r="E49" s="11" t="s">
        <v>96</v>
      </c>
      <c r="F49" s="1" t="n">
        <v>329.44</v>
      </c>
      <c r="G49" s="1" t="n">
        <v>0.23</v>
      </c>
      <c r="H49" s="10" t="n">
        <f aca="false">SUM(I49,N49)/2</f>
        <v>0.753627803571429</v>
      </c>
      <c r="I49" s="10" t="n">
        <f aca="false">SUM(J49:M49)/4</f>
        <v>0.76972675</v>
      </c>
      <c r="J49" s="1" t="n">
        <v>0.868181</v>
      </c>
      <c r="K49" s="1" t="n">
        <v>0.943337</v>
      </c>
      <c r="L49" s="1" t="n">
        <v>0.280633</v>
      </c>
      <c r="M49" s="1" t="n">
        <v>0.986756</v>
      </c>
      <c r="N49" s="10" t="n">
        <f aca="false">SUM(O49:U49)/7</f>
        <v>0.737528857142857</v>
      </c>
      <c r="O49" s="1" t="n">
        <v>0.763665</v>
      </c>
      <c r="P49" s="1" t="n">
        <v>0.622092</v>
      </c>
      <c r="Q49" s="1" t="n">
        <v>0.559042</v>
      </c>
      <c r="R49" s="1" t="n">
        <v>0.757003</v>
      </c>
      <c r="S49" s="1" t="n">
        <v>0.604664</v>
      </c>
      <c r="T49" s="1" t="n">
        <v>0.99493</v>
      </c>
      <c r="U49" s="1" t="n">
        <v>0.861306</v>
      </c>
    </row>
    <row r="50" customFormat="false" ht="14.25" hidden="false" customHeight="false" outlineLevel="0" collapsed="false">
      <c r="A50" s="1" t="s">
        <v>21</v>
      </c>
      <c r="B50" s="9" t="s">
        <v>97</v>
      </c>
      <c r="C50" s="10" t="s">
        <v>23</v>
      </c>
      <c r="D50" s="10" t="s">
        <v>35</v>
      </c>
      <c r="E50" s="11" t="s">
        <v>98</v>
      </c>
      <c r="F50" s="1" t="n">
        <v>256.81</v>
      </c>
      <c r="G50" s="1" t="n">
        <v>0.41</v>
      </c>
      <c r="H50" s="10" t="n">
        <f aca="false">SUM(I50,N50)/2</f>
        <v>0.752351303571429</v>
      </c>
      <c r="I50" s="10" t="n">
        <f aca="false">SUM(J50:M50)/4</f>
        <v>0.75769475</v>
      </c>
      <c r="J50" s="1" t="n">
        <v>0.875137</v>
      </c>
      <c r="K50" s="1" t="n">
        <v>0.908507</v>
      </c>
      <c r="L50" s="1" t="n">
        <v>0.259516</v>
      </c>
      <c r="M50" s="1" t="n">
        <v>0.987619</v>
      </c>
      <c r="N50" s="10" t="n">
        <f aca="false">SUM(O50:U50)/7</f>
        <v>0.747007857142857</v>
      </c>
      <c r="O50" s="1" t="n">
        <v>0.766546</v>
      </c>
      <c r="P50" s="1" t="n">
        <v>0.6329</v>
      </c>
      <c r="Q50" s="1" t="n">
        <v>0.571147</v>
      </c>
      <c r="R50" s="1" t="n">
        <v>0.789278</v>
      </c>
      <c r="S50" s="1" t="n">
        <v>0.618056</v>
      </c>
      <c r="T50" s="1" t="n">
        <v>0.994626</v>
      </c>
      <c r="U50" s="1" t="n">
        <v>0.856502</v>
      </c>
    </row>
    <row r="51" customFormat="false" ht="14.25" hidden="false" customHeight="false" outlineLevel="0" collapsed="false">
      <c r="A51" s="1" t="s">
        <v>21</v>
      </c>
      <c r="B51" s="9" t="s">
        <v>99</v>
      </c>
      <c r="C51" s="10" t="s">
        <v>23</v>
      </c>
      <c r="D51" s="10" t="s">
        <v>24</v>
      </c>
      <c r="E51" s="11" t="s">
        <v>100</v>
      </c>
      <c r="F51" s="1" t="n">
        <v>309.14</v>
      </c>
      <c r="G51" s="1" t="n">
        <v>0.12</v>
      </c>
      <c r="H51" s="10" t="n">
        <f aca="false">SUM(I51,N51)/2</f>
        <v>0.752090517857143</v>
      </c>
      <c r="I51" s="10" t="n">
        <f aca="false">SUM(J51:M51)/4</f>
        <v>0.75830775</v>
      </c>
      <c r="J51" s="1" t="n">
        <v>0.894194</v>
      </c>
      <c r="K51" s="1" t="n">
        <v>0.916328</v>
      </c>
      <c r="L51" s="1" t="n">
        <v>0.245564</v>
      </c>
      <c r="M51" s="1" t="n">
        <v>0.977145</v>
      </c>
      <c r="N51" s="10" t="n">
        <f aca="false">SUM(O51:U51)/7</f>
        <v>0.745873285714286</v>
      </c>
      <c r="O51" s="1" t="n">
        <v>0.792477</v>
      </c>
      <c r="P51" s="1" t="n">
        <v>0.636902</v>
      </c>
      <c r="Q51" s="1" t="n">
        <v>0.550094</v>
      </c>
      <c r="R51" s="1" t="n">
        <v>0.803336</v>
      </c>
      <c r="S51" s="1" t="n">
        <v>0.598736</v>
      </c>
      <c r="T51" s="1" t="n">
        <v>0.99527</v>
      </c>
      <c r="U51" s="1" t="n">
        <v>0.844298</v>
      </c>
    </row>
    <row r="52" customFormat="false" ht="14.25" hidden="false" customHeight="false" outlineLevel="0" collapsed="false">
      <c r="A52" s="1" t="s">
        <v>21</v>
      </c>
      <c r="B52" s="9" t="s">
        <v>101</v>
      </c>
      <c r="C52" s="10" t="s">
        <v>23</v>
      </c>
      <c r="D52" s="10" t="s">
        <v>35</v>
      </c>
      <c r="E52" s="11" t="s">
        <v>102</v>
      </c>
      <c r="F52" s="1" t="n">
        <v>338.32</v>
      </c>
      <c r="G52" s="1" t="n">
        <v>0.28</v>
      </c>
      <c r="H52" s="10" t="n">
        <f aca="false">SUM(I52,N52)/2</f>
        <v>0.751928303571429</v>
      </c>
      <c r="I52" s="10" t="n">
        <f aca="false">SUM(J52:M52)/4</f>
        <v>0.75452175</v>
      </c>
      <c r="J52" s="1" t="n">
        <v>0.861678</v>
      </c>
      <c r="K52" s="1" t="n">
        <v>0.922853</v>
      </c>
      <c r="L52" s="1" t="n">
        <v>0.264806</v>
      </c>
      <c r="M52" s="1" t="n">
        <v>0.96875</v>
      </c>
      <c r="N52" s="10" t="n">
        <f aca="false">SUM(O52:U52)/7</f>
        <v>0.749334857142857</v>
      </c>
      <c r="O52" s="1" t="n">
        <v>0.766691</v>
      </c>
      <c r="P52" s="1" t="n">
        <v>0.628212</v>
      </c>
      <c r="Q52" s="1" t="n">
        <v>0.563938</v>
      </c>
      <c r="R52" s="1" t="n">
        <v>0.8278</v>
      </c>
      <c r="S52" s="1" t="n">
        <v>0.6072</v>
      </c>
      <c r="T52" s="1" t="n">
        <v>0.995631</v>
      </c>
      <c r="U52" s="1" t="n">
        <v>0.855872</v>
      </c>
    </row>
    <row r="53" customFormat="false" ht="14.25" hidden="false" customHeight="false" outlineLevel="0" collapsed="false">
      <c r="A53" s="1" t="s">
        <v>21</v>
      </c>
      <c r="B53" s="9" t="s">
        <v>99</v>
      </c>
      <c r="C53" s="10" t="s">
        <v>23</v>
      </c>
      <c r="D53" s="10" t="s">
        <v>35</v>
      </c>
      <c r="E53" s="11" t="s">
        <v>103</v>
      </c>
      <c r="F53" s="1" t="n">
        <v>447.26</v>
      </c>
      <c r="G53" s="1" t="n">
        <v>0.28</v>
      </c>
      <c r="H53" s="10" t="n">
        <f aca="false">SUM(I53,N53)/2</f>
        <v>0.751330714285714</v>
      </c>
      <c r="I53" s="10" t="n">
        <f aca="false">SUM(J53:M53)/4</f>
        <v>0.757404</v>
      </c>
      <c r="J53" s="1" t="n">
        <v>0.888469</v>
      </c>
      <c r="K53" s="1" t="n">
        <v>0.91482</v>
      </c>
      <c r="L53" s="1" t="n">
        <v>0.237257</v>
      </c>
      <c r="M53" s="1" t="n">
        <v>0.98907</v>
      </c>
      <c r="N53" s="10" t="n">
        <f aca="false">SUM(O53:U53)/7</f>
        <v>0.745257428571429</v>
      </c>
      <c r="O53" s="1" t="n">
        <v>0.785944</v>
      </c>
      <c r="P53" s="1" t="n">
        <v>0.645287</v>
      </c>
      <c r="Q53" s="1" t="n">
        <v>0.551514</v>
      </c>
      <c r="R53" s="1" t="n">
        <v>0.79935</v>
      </c>
      <c r="S53" s="1" t="n">
        <v>0.591702</v>
      </c>
      <c r="T53" s="1" t="n">
        <v>0.99529</v>
      </c>
      <c r="U53" s="1" t="n">
        <v>0.847715</v>
      </c>
    </row>
    <row r="54" customFormat="false" ht="14.25" hidden="false" customHeight="false" outlineLevel="0" collapsed="false">
      <c r="A54" s="1" t="s">
        <v>21</v>
      </c>
      <c r="B54" s="9" t="s">
        <v>77</v>
      </c>
      <c r="C54" s="10" t="s">
        <v>23</v>
      </c>
      <c r="D54" s="10" t="s">
        <v>35</v>
      </c>
      <c r="E54" s="11" t="s">
        <v>104</v>
      </c>
      <c r="F54" s="1" t="n">
        <v>293.72</v>
      </c>
      <c r="G54" s="1" t="n">
        <v>0.28</v>
      </c>
      <c r="H54" s="10" t="n">
        <f aca="false">SUM(I54,N54)/2</f>
        <v>0.749368107142857</v>
      </c>
      <c r="I54" s="10" t="n">
        <f aca="false">SUM(J54:M54)/4</f>
        <v>0.7663755</v>
      </c>
      <c r="J54" s="1" t="n">
        <v>0.885984</v>
      </c>
      <c r="K54" s="1" t="n">
        <v>0.932226</v>
      </c>
      <c r="L54" s="1" t="n">
        <v>0.271487</v>
      </c>
      <c r="M54" s="1" t="n">
        <v>0.975805</v>
      </c>
      <c r="N54" s="10" t="n">
        <f aca="false">SUM(O54:U54)/7</f>
        <v>0.732360714285714</v>
      </c>
      <c r="O54" s="1" t="n">
        <v>0.763636</v>
      </c>
      <c r="P54" s="1" t="n">
        <v>0.623758</v>
      </c>
      <c r="Q54" s="1" t="n">
        <v>0.554337</v>
      </c>
      <c r="R54" s="1" t="n">
        <v>0.732698</v>
      </c>
      <c r="S54" s="1" t="n">
        <v>0.597636</v>
      </c>
      <c r="T54" s="1" t="n">
        <v>0.994194</v>
      </c>
      <c r="U54" s="1" t="n">
        <v>0.860266</v>
      </c>
    </row>
    <row r="55" customFormat="false" ht="14.25" hidden="false" customHeight="false" outlineLevel="0" collapsed="false">
      <c r="A55" s="1" t="s">
        <v>21</v>
      </c>
      <c r="B55" s="9" t="s">
        <v>97</v>
      </c>
      <c r="C55" s="10" t="s">
        <v>23</v>
      </c>
      <c r="D55" s="10" t="s">
        <v>24</v>
      </c>
      <c r="E55" s="11" t="s">
        <v>105</v>
      </c>
      <c r="F55" s="1" t="n">
        <v>201.9</v>
      </c>
      <c r="G55" s="1" t="n">
        <v>0.18</v>
      </c>
      <c r="H55" s="10" t="n">
        <f aca="false">SUM(I55,N55)/2</f>
        <v>0.748791642857143</v>
      </c>
      <c r="I55" s="10" t="n">
        <f aca="false">SUM(J55:M55)/4</f>
        <v>0.757708</v>
      </c>
      <c r="J55" s="1" t="n">
        <v>0.872783</v>
      </c>
      <c r="K55" s="1" t="n">
        <v>0.92695</v>
      </c>
      <c r="L55" s="1" t="n">
        <v>0.253304</v>
      </c>
      <c r="M55" s="1" t="n">
        <v>0.977795</v>
      </c>
      <c r="N55" s="10" t="n">
        <f aca="false">SUM(O55:U55)/7</f>
        <v>0.739875285714286</v>
      </c>
      <c r="O55" s="1" t="n">
        <v>0.778068</v>
      </c>
      <c r="P55" s="1" t="n">
        <v>0.64158</v>
      </c>
      <c r="Q55" s="1" t="n">
        <v>0.561974</v>
      </c>
      <c r="R55" s="1" t="n">
        <v>0.739533</v>
      </c>
      <c r="S55" s="1" t="n">
        <v>0.613813</v>
      </c>
      <c r="T55" s="1" t="n">
        <v>0.994553</v>
      </c>
      <c r="U55" s="1" t="n">
        <v>0.849606</v>
      </c>
    </row>
    <row r="56" customFormat="false" ht="14.25" hidden="false" customHeight="false" outlineLevel="0" collapsed="false">
      <c r="A56" s="1" t="s">
        <v>21</v>
      </c>
      <c r="B56" s="9" t="s">
        <v>106</v>
      </c>
      <c r="C56" s="10" t="s">
        <v>23</v>
      </c>
      <c r="D56" s="10" t="s">
        <v>24</v>
      </c>
      <c r="E56" s="11" t="s">
        <v>107</v>
      </c>
      <c r="F56" s="1" t="n">
        <v>520.64</v>
      </c>
      <c r="G56" s="1" t="n">
        <v>0.15</v>
      </c>
      <c r="H56" s="10" t="n">
        <f aca="false">SUM(I56,N56)/2</f>
        <v>0.747818160714286</v>
      </c>
      <c r="I56" s="10" t="n">
        <f aca="false">SUM(J56:M56)/4</f>
        <v>0.76738875</v>
      </c>
      <c r="J56" s="1" t="n">
        <v>0.876891</v>
      </c>
      <c r="K56" s="1" t="n">
        <v>0.948523</v>
      </c>
      <c r="L56" s="1" t="n">
        <v>0.269889</v>
      </c>
      <c r="M56" s="1" t="n">
        <v>0.974252</v>
      </c>
      <c r="N56" s="10" t="n">
        <f aca="false">SUM(O56:U56)/7</f>
        <v>0.728247571428571</v>
      </c>
      <c r="O56" s="1" t="n">
        <v>0.761761</v>
      </c>
      <c r="P56" s="1" t="n">
        <v>0.63656</v>
      </c>
      <c r="Q56" s="1" t="n">
        <v>0.559785</v>
      </c>
      <c r="R56" s="1" t="n">
        <v>0.691993</v>
      </c>
      <c r="S56" s="1" t="n">
        <v>0.605466</v>
      </c>
      <c r="T56" s="1" t="n">
        <v>0.99267</v>
      </c>
      <c r="U56" s="1" t="n">
        <v>0.849498</v>
      </c>
    </row>
    <row r="57" customFormat="false" ht="14.25" hidden="false" customHeight="false" outlineLevel="0" collapsed="false">
      <c r="A57" s="1" t="s">
        <v>21</v>
      </c>
      <c r="B57" s="9" t="s">
        <v>101</v>
      </c>
      <c r="C57" s="10" t="s">
        <v>23</v>
      </c>
      <c r="D57" s="10" t="s">
        <v>24</v>
      </c>
      <c r="E57" s="11" t="s">
        <v>108</v>
      </c>
      <c r="F57" s="1" t="n">
        <v>282.75</v>
      </c>
      <c r="G57" s="1" t="n">
        <v>0.13</v>
      </c>
      <c r="H57" s="10" t="n">
        <f aca="false">SUM(I57,N57)/2</f>
        <v>0.747797857142857</v>
      </c>
      <c r="I57" s="10" t="n">
        <f aca="false">SUM(J57:M57)/4</f>
        <v>0.752962</v>
      </c>
      <c r="J57" s="1" t="n">
        <v>0.870449</v>
      </c>
      <c r="K57" s="1" t="n">
        <v>0.931874</v>
      </c>
      <c r="L57" s="1" t="n">
        <v>0.244517</v>
      </c>
      <c r="M57" s="1" t="n">
        <v>0.965008</v>
      </c>
      <c r="N57" s="10" t="n">
        <f aca="false">SUM(O57:U57)/7</f>
        <v>0.742633714285714</v>
      </c>
      <c r="O57" s="1" t="n">
        <v>0.778767</v>
      </c>
      <c r="P57" s="1" t="n">
        <v>0.642007</v>
      </c>
      <c r="Q57" s="1" t="n">
        <v>0.574145</v>
      </c>
      <c r="R57" s="1" t="n">
        <v>0.749299</v>
      </c>
      <c r="S57" s="1" t="n">
        <v>0.611487</v>
      </c>
      <c r="T57" s="1" t="n">
        <v>0.99605</v>
      </c>
      <c r="U57" s="1" t="n">
        <v>0.846681</v>
      </c>
    </row>
    <row r="58" customFormat="false" ht="14.25" hidden="false" customHeight="false" outlineLevel="0" collapsed="false">
      <c r="A58" s="1" t="s">
        <v>21</v>
      </c>
      <c r="B58" s="9" t="s">
        <v>106</v>
      </c>
      <c r="C58" s="10" t="s">
        <v>23</v>
      </c>
      <c r="D58" s="10" t="s">
        <v>35</v>
      </c>
      <c r="E58" s="11" t="s">
        <v>109</v>
      </c>
      <c r="F58" s="1" t="n">
        <v>447.2</v>
      </c>
      <c r="G58" s="1" t="n">
        <v>0.41</v>
      </c>
      <c r="H58" s="10" t="n">
        <f aca="false">SUM(I58,N58)/2</f>
        <v>0.746749035714286</v>
      </c>
      <c r="I58" s="10" t="n">
        <f aca="false">SUM(J58:M58)/4</f>
        <v>0.7697615</v>
      </c>
      <c r="J58" s="1" t="n">
        <v>0.87549</v>
      </c>
      <c r="K58" s="1" t="n">
        <v>0.941207</v>
      </c>
      <c r="L58" s="1" t="n">
        <v>0.279093</v>
      </c>
      <c r="M58" s="1" t="n">
        <v>0.983256</v>
      </c>
      <c r="N58" s="10" t="n">
        <f aca="false">SUM(O58:U58)/7</f>
        <v>0.723736571428571</v>
      </c>
      <c r="O58" s="1" t="n">
        <v>0.755756</v>
      </c>
      <c r="P58" s="1" t="n">
        <v>0.62569</v>
      </c>
      <c r="Q58" s="1" t="n">
        <v>0.556083</v>
      </c>
      <c r="R58" s="1" t="n">
        <v>0.67845</v>
      </c>
      <c r="S58" s="1" t="n">
        <v>0.596809</v>
      </c>
      <c r="T58" s="1" t="n">
        <v>0.99357</v>
      </c>
      <c r="U58" s="1" t="n">
        <v>0.859798</v>
      </c>
    </row>
    <row r="59" customFormat="false" ht="14.25" hidden="false" customHeight="false" outlineLevel="0" collapsed="false">
      <c r="A59" s="1" t="s">
        <v>21</v>
      </c>
      <c r="B59" s="9" t="s">
        <v>74</v>
      </c>
      <c r="C59" s="10" t="s">
        <v>23</v>
      </c>
      <c r="D59" s="10" t="s">
        <v>35</v>
      </c>
      <c r="E59" s="11" t="s">
        <v>110</v>
      </c>
      <c r="F59" s="1" t="n">
        <v>317.86</v>
      </c>
      <c r="G59" s="1" t="n">
        <v>0.28</v>
      </c>
      <c r="H59" s="10" t="n">
        <f aca="false">SUM(I59,N59)/2</f>
        <v>0.746638321428571</v>
      </c>
      <c r="I59" s="10" t="n">
        <f aca="false">SUM(J59:M59)/4</f>
        <v>0.7642425</v>
      </c>
      <c r="J59" s="1" t="n">
        <v>0.865129</v>
      </c>
      <c r="K59" s="1" t="n">
        <v>0.941618</v>
      </c>
      <c r="L59" s="1" t="n">
        <v>0.278242</v>
      </c>
      <c r="M59" s="1" t="n">
        <v>0.971981</v>
      </c>
      <c r="N59" s="10" t="n">
        <f aca="false">SUM(O59:U59)/7</f>
        <v>0.729034142857143</v>
      </c>
      <c r="O59" s="1" t="n">
        <v>0.750483</v>
      </c>
      <c r="P59" s="1" t="n">
        <v>0.618046</v>
      </c>
      <c r="Q59" s="1" t="n">
        <v>0.561658</v>
      </c>
      <c r="R59" s="1" t="n">
        <v>0.721054</v>
      </c>
      <c r="S59" s="1" t="n">
        <v>0.596347</v>
      </c>
      <c r="T59" s="1" t="n">
        <v>0.994758</v>
      </c>
      <c r="U59" s="1" t="n">
        <v>0.860893</v>
      </c>
    </row>
    <row r="60" customFormat="false" ht="14.25" hidden="false" customHeight="false" outlineLevel="0" collapsed="false">
      <c r="A60" s="1" t="s">
        <v>21</v>
      </c>
      <c r="B60" s="9" t="s">
        <v>111</v>
      </c>
      <c r="C60" s="10" t="s">
        <v>23</v>
      </c>
      <c r="D60" s="10" t="s">
        <v>24</v>
      </c>
      <c r="E60" s="11" t="s">
        <v>112</v>
      </c>
      <c r="F60" s="1" t="n">
        <v>331.59</v>
      </c>
      <c r="G60" s="1" t="n">
        <v>0.1</v>
      </c>
      <c r="H60" s="10" t="n">
        <f aca="false">SUM(I60,N60)/2</f>
        <v>0.745410160714286</v>
      </c>
      <c r="I60" s="10" t="n">
        <f aca="false">SUM(J60:M60)/4</f>
        <v>0.73600575</v>
      </c>
      <c r="J60" s="1" t="n">
        <v>0.864073</v>
      </c>
      <c r="K60" s="1" t="n">
        <v>0.893627</v>
      </c>
      <c r="L60" s="1" t="n">
        <v>0.212828</v>
      </c>
      <c r="M60" s="1" t="n">
        <v>0.973495</v>
      </c>
      <c r="N60" s="10" t="n">
        <f aca="false">SUM(O60:U60)/7</f>
        <v>0.754814571428571</v>
      </c>
      <c r="O60" s="1" t="n">
        <v>0.771002</v>
      </c>
      <c r="P60" s="1" t="n">
        <v>0.628538</v>
      </c>
      <c r="Q60" s="1" t="n">
        <v>0.573364</v>
      </c>
      <c r="R60" s="1" t="n">
        <v>0.829493</v>
      </c>
      <c r="S60" s="1" t="n">
        <v>0.626762</v>
      </c>
      <c r="T60" s="1" t="n">
        <v>0.995709</v>
      </c>
      <c r="U60" s="1" t="n">
        <v>0.858834</v>
      </c>
    </row>
    <row r="61" customFormat="false" ht="14.25" hidden="false" customHeight="false" outlineLevel="0" collapsed="false">
      <c r="A61" s="1" t="s">
        <v>21</v>
      </c>
      <c r="B61" s="9" t="s">
        <v>111</v>
      </c>
      <c r="C61" s="10" t="s">
        <v>23</v>
      </c>
      <c r="D61" s="10" t="s">
        <v>35</v>
      </c>
      <c r="E61" s="11" t="s">
        <v>113</v>
      </c>
      <c r="F61" s="1" t="n">
        <v>404.95</v>
      </c>
      <c r="G61" s="1" t="n">
        <v>0.23</v>
      </c>
      <c r="H61" s="10" t="n">
        <f aca="false">SUM(I61,N61)/2</f>
        <v>0.741090607142857</v>
      </c>
      <c r="I61" s="10" t="n">
        <f aca="false">SUM(J61:M61)/4</f>
        <v>0.7365805</v>
      </c>
      <c r="J61" s="1" t="n">
        <v>0.857498</v>
      </c>
      <c r="K61" s="1" t="n">
        <v>0.903377</v>
      </c>
      <c r="L61" s="1" t="n">
        <v>0.215062</v>
      </c>
      <c r="M61" s="1" t="n">
        <v>0.970385</v>
      </c>
      <c r="N61" s="10" t="n">
        <f aca="false">SUM(O61:U61)/7</f>
        <v>0.745600714285714</v>
      </c>
      <c r="O61" s="1" t="n">
        <v>0.765437</v>
      </c>
      <c r="P61" s="1" t="n">
        <v>0.604515</v>
      </c>
      <c r="Q61" s="1" t="n">
        <v>0.575654</v>
      </c>
      <c r="R61" s="1" t="n">
        <v>0.805444</v>
      </c>
      <c r="S61" s="1" t="n">
        <v>0.633646</v>
      </c>
      <c r="T61" s="1" t="n">
        <v>0.996252</v>
      </c>
      <c r="U61" s="1" t="n">
        <v>0.838257</v>
      </c>
    </row>
    <row r="62" customFormat="false" ht="14.25" hidden="false" customHeight="false" outlineLevel="0" collapsed="false">
      <c r="A62" s="1" t="s">
        <v>21</v>
      </c>
      <c r="B62" s="9" t="s">
        <v>90</v>
      </c>
      <c r="C62" s="10" t="s">
        <v>23</v>
      </c>
      <c r="D62" s="10" t="s">
        <v>35</v>
      </c>
      <c r="E62" s="11" t="s">
        <v>114</v>
      </c>
      <c r="F62" s="1" t="n">
        <v>232.62</v>
      </c>
      <c r="G62" s="1" t="n">
        <v>0.36</v>
      </c>
      <c r="H62" s="10" t="n">
        <f aca="false">SUM(I62,N62)/2</f>
        <v>0.737651267857143</v>
      </c>
      <c r="I62" s="10" t="n">
        <f aca="false">SUM(J62:M62)/4</f>
        <v>0.72589525</v>
      </c>
      <c r="J62" s="1" t="n">
        <v>0.867908</v>
      </c>
      <c r="K62" s="1" t="n">
        <v>0.859063</v>
      </c>
      <c r="L62" s="1" t="n">
        <v>0.199854</v>
      </c>
      <c r="M62" s="1" t="n">
        <v>0.976756</v>
      </c>
      <c r="N62" s="10" t="n">
        <f aca="false">SUM(O62:U62)/7</f>
        <v>0.749407285714286</v>
      </c>
      <c r="O62" s="1" t="n">
        <v>0.764427</v>
      </c>
      <c r="P62" s="1" t="n">
        <v>0.613767</v>
      </c>
      <c r="Q62" s="1" t="n">
        <v>0.57531</v>
      </c>
      <c r="R62" s="1" t="n">
        <v>0.806748</v>
      </c>
      <c r="S62" s="1" t="n">
        <v>0.632916</v>
      </c>
      <c r="T62" s="1" t="n">
        <v>0.996494</v>
      </c>
      <c r="U62" s="1" t="n">
        <v>0.856189</v>
      </c>
    </row>
    <row r="63" customFormat="false" ht="14.25" hidden="false" customHeight="false" outlineLevel="0" collapsed="false">
      <c r="R63" s="12"/>
      <c r="S63" s="12"/>
      <c r="U63" s="12"/>
    </row>
    <row r="64" customFormat="false" ht="14.25" hidden="false" customHeight="false" outlineLevel="0" collapsed="false">
      <c r="R64" s="12"/>
      <c r="S64" s="12"/>
      <c r="U64" s="12"/>
    </row>
    <row r="65" customFormat="false" ht="14.25" hidden="false" customHeight="false" outlineLevel="0" collapsed="false">
      <c r="R65" s="12"/>
      <c r="S65" s="12"/>
      <c r="U65" s="12"/>
    </row>
    <row r="66" customFormat="false" ht="14.25" hidden="false" customHeight="false" outlineLevel="0" collapsed="false">
      <c r="R66" s="12"/>
      <c r="S66" s="12"/>
      <c r="U66" s="12"/>
    </row>
  </sheetData>
  <autoFilter ref="A2:U62">
    <sortState ref="A3:U62">
      <sortCondition ref="B3:B62" descending="1" customList=""/>
    </sortState>
  </autoFilter>
  <mergeCells count="2">
    <mergeCell ref="I1:M1"/>
    <mergeCell ref="N1:U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2" topLeftCell="D3" activePane="bottomRight" state="frozen"/>
      <selection pane="topLeft" activeCell="A1" activeCellId="0" sqref="A1"/>
      <selection pane="topRight" activeCell="D1" activeCellId="0" sqref="D1"/>
      <selection pane="bottomLeft" activeCell="A3" activeCellId="0" sqref="A3"/>
      <selection pane="bottomRight" activeCell="A9" activeCellId="0" sqref="A9"/>
    </sheetView>
  </sheetViews>
  <sheetFormatPr defaultColWidth="8.6796875" defaultRowHeight="14.25" zeroHeight="false" outlineLevelRow="0" outlineLevelCol="0"/>
  <cols>
    <col collapsed="false" customWidth="true" hidden="false" outlineLevel="0" max="2" min="2" style="1" width="54.22"/>
    <col collapsed="false" customWidth="true" hidden="false" outlineLevel="0" max="3" min="3" style="1" width="9.88"/>
    <col collapsed="false" customWidth="true" hidden="false" outlineLevel="0" max="8" min="8" style="1" width="26.01"/>
    <col collapsed="false" customWidth="true" hidden="false" outlineLevel="0" max="9" min="9" style="1" width="15.71"/>
    <col collapsed="false" customWidth="true" hidden="false" outlineLevel="0" max="14" min="14" style="1" width="22.25"/>
  </cols>
  <sheetData>
    <row r="1" customFormat="false" ht="14.25" hidden="false" customHeight="false" outlineLevel="0" collapsed="false">
      <c r="I1" s="2" t="s">
        <v>0</v>
      </c>
      <c r="J1" s="2"/>
      <c r="K1" s="2"/>
      <c r="L1" s="2"/>
      <c r="M1" s="2"/>
      <c r="N1" s="3" t="s">
        <v>1</v>
      </c>
      <c r="O1" s="3"/>
      <c r="P1" s="3"/>
      <c r="Q1" s="3"/>
      <c r="R1" s="3"/>
      <c r="S1" s="3"/>
      <c r="T1" s="3"/>
      <c r="U1" s="3"/>
    </row>
    <row r="2" customFormat="false" ht="77.6" hidden="false" customHeight="false" outlineLevel="0" collapsed="false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5" t="s">
        <v>9</v>
      </c>
      <c r="I2" s="6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7" t="s">
        <v>9</v>
      </c>
      <c r="O2" s="4" t="s">
        <v>14</v>
      </c>
      <c r="P2" s="4" t="s">
        <v>15</v>
      </c>
      <c r="Q2" s="4" t="s">
        <v>16</v>
      </c>
      <c r="R2" s="4" t="s">
        <v>17</v>
      </c>
      <c r="S2" s="4" t="s">
        <v>18</v>
      </c>
      <c r="T2" s="4" t="s">
        <v>19</v>
      </c>
      <c r="U2" s="4" t="s">
        <v>20</v>
      </c>
    </row>
    <row r="3" customFormat="false" ht="14.25" hidden="false" customHeight="false" outlineLevel="0" collapsed="false">
      <c r="A3" s="1" t="s">
        <v>115</v>
      </c>
      <c r="B3" s="9" t="s">
        <v>116</v>
      </c>
      <c r="C3" s="10" t="s">
        <v>23</v>
      </c>
      <c r="D3" s="10" t="s">
        <v>24</v>
      </c>
      <c r="E3" s="11" t="s">
        <v>117</v>
      </c>
      <c r="F3" s="1" t="n">
        <v>376.19</v>
      </c>
      <c r="G3" s="13" t="s">
        <v>118</v>
      </c>
      <c r="H3" s="10" t="n">
        <f aca="false">SUM(I3,N3)/2</f>
        <v>0.753226142857143</v>
      </c>
      <c r="I3" s="10" t="n">
        <f aca="false">SUM(J3:M3)/4</f>
        <v>0.748787</v>
      </c>
      <c r="J3" s="1" t="n">
        <v>0.842318</v>
      </c>
      <c r="K3" s="1" t="n">
        <v>0.862242</v>
      </c>
      <c r="L3" s="1" t="n">
        <v>0.307593</v>
      </c>
      <c r="M3" s="1" t="n">
        <v>0.982995</v>
      </c>
      <c r="N3" s="10" t="n">
        <f aca="false">SUM(O3:U3)/7</f>
        <v>0.757665285714286</v>
      </c>
      <c r="O3" s="1" t="n">
        <v>0.773424</v>
      </c>
      <c r="P3" s="1" t="n">
        <v>0.611338</v>
      </c>
      <c r="Q3" s="1" t="n">
        <v>0.615043</v>
      </c>
      <c r="R3" s="1" t="n">
        <v>0.785777</v>
      </c>
      <c r="S3" s="1" t="n">
        <v>0.645102</v>
      </c>
      <c r="T3" s="1" t="n">
        <v>0.995569</v>
      </c>
      <c r="U3" s="1" t="n">
        <v>0.877404</v>
      </c>
    </row>
    <row r="4" customFormat="false" ht="14.25" hidden="false" customHeight="false" outlineLevel="0" collapsed="false">
      <c r="A4" s="1" t="s">
        <v>115</v>
      </c>
      <c r="B4" s="9" t="s">
        <v>119</v>
      </c>
      <c r="C4" s="10" t="s">
        <v>23</v>
      </c>
      <c r="D4" s="10" t="s">
        <v>24</v>
      </c>
      <c r="E4" s="11" t="s">
        <v>120</v>
      </c>
      <c r="F4" s="1" t="n">
        <v>557.22</v>
      </c>
      <c r="G4" s="13" t="s">
        <v>118</v>
      </c>
      <c r="H4" s="10" t="n">
        <f aca="false">SUM(I4,N4)/2</f>
        <v>0.753068964285714</v>
      </c>
      <c r="I4" s="10" t="n">
        <f aca="false">SUM(J4:M4)/4</f>
        <v>0.7376765</v>
      </c>
      <c r="J4" s="1" t="n">
        <v>0.844632</v>
      </c>
      <c r="K4" s="1" t="n">
        <v>0.839269</v>
      </c>
      <c r="L4" s="1" t="n">
        <v>0.299226</v>
      </c>
      <c r="M4" s="1" t="n">
        <v>0.967579</v>
      </c>
      <c r="N4" s="10" t="n">
        <f aca="false">SUM(O4:U4)/7</f>
        <v>0.768461428571429</v>
      </c>
      <c r="O4" s="1" t="n">
        <v>0.786809</v>
      </c>
      <c r="P4" s="1" t="n">
        <v>0.635782</v>
      </c>
      <c r="Q4" s="1" t="n">
        <v>0.614361</v>
      </c>
      <c r="R4" s="1" t="n">
        <v>0.817915</v>
      </c>
      <c r="S4" s="1" t="n">
        <v>0.656745</v>
      </c>
      <c r="T4" s="1" t="n">
        <v>0.996799</v>
      </c>
      <c r="U4" s="1" t="n">
        <v>0.870819</v>
      </c>
    </row>
    <row r="5" customFormat="false" ht="14.25" hidden="false" customHeight="false" outlineLevel="0" collapsed="false">
      <c r="A5" s="1" t="s">
        <v>115</v>
      </c>
      <c r="B5" s="9" t="s">
        <v>121</v>
      </c>
      <c r="C5" s="10" t="s">
        <v>23</v>
      </c>
      <c r="D5" s="10" t="s">
        <v>24</v>
      </c>
      <c r="E5" s="11" t="s">
        <v>122</v>
      </c>
      <c r="F5" s="1" t="n">
        <v>349.31</v>
      </c>
      <c r="G5" s="13" t="s">
        <v>118</v>
      </c>
      <c r="H5" s="10" t="n">
        <f aca="false">SUM(I5,N5)/2</f>
        <v>0.751635357142857</v>
      </c>
      <c r="I5" s="10" t="n">
        <f aca="false">SUM(J5:M5)/4</f>
        <v>0.741523</v>
      </c>
      <c r="J5" s="1" t="n">
        <v>0.835117</v>
      </c>
      <c r="K5" s="1" t="n">
        <v>0.868726</v>
      </c>
      <c r="L5" s="1" t="n">
        <v>0.290272</v>
      </c>
      <c r="M5" s="1" t="n">
        <v>0.971977</v>
      </c>
      <c r="N5" s="10" t="n">
        <f aca="false">SUM(O5:U5)/7</f>
        <v>0.761747714285714</v>
      </c>
      <c r="O5" s="1" t="n">
        <v>0.77633</v>
      </c>
      <c r="P5" s="1" t="n">
        <v>0.608608</v>
      </c>
      <c r="Q5" s="1" t="n">
        <v>0.620389</v>
      </c>
      <c r="R5" s="1" t="n">
        <v>0.773412</v>
      </c>
      <c r="S5" s="1" t="n">
        <v>0.689856</v>
      </c>
      <c r="T5" s="1" t="n">
        <v>0.997064</v>
      </c>
      <c r="U5" s="1" t="n">
        <v>0.866575</v>
      </c>
    </row>
    <row r="6" customFormat="false" ht="14.25" hidden="false" customHeight="false" outlineLevel="0" collapsed="false">
      <c r="A6" s="1" t="s">
        <v>115</v>
      </c>
      <c r="B6" s="9" t="s">
        <v>123</v>
      </c>
      <c r="C6" s="10" t="s">
        <v>23</v>
      </c>
      <c r="D6" s="10" t="s">
        <v>24</v>
      </c>
      <c r="E6" s="11" t="s">
        <v>124</v>
      </c>
      <c r="F6" s="1" t="n">
        <v>320.86</v>
      </c>
      <c r="G6" s="13" t="s">
        <v>118</v>
      </c>
      <c r="H6" s="10" t="n">
        <f aca="false">SUM(I6,N6)/2</f>
        <v>0.751074535714286</v>
      </c>
      <c r="I6" s="10" t="n">
        <f aca="false">SUM(J6:M6)/4</f>
        <v>0.7444905</v>
      </c>
      <c r="J6" s="1" t="n">
        <v>0.842348</v>
      </c>
      <c r="K6" s="1" t="n">
        <v>0.863061</v>
      </c>
      <c r="L6" s="1" t="n">
        <v>0.304198</v>
      </c>
      <c r="M6" s="1" t="n">
        <v>0.968355</v>
      </c>
      <c r="N6" s="10" t="n">
        <f aca="false">SUM(O6:U6)/7</f>
        <v>0.757658571428571</v>
      </c>
      <c r="O6" s="1" t="n">
        <v>0.777001</v>
      </c>
      <c r="P6" s="1" t="n">
        <v>0.630439</v>
      </c>
      <c r="Q6" s="1" t="n">
        <v>0.612932</v>
      </c>
      <c r="R6" s="1" t="n">
        <v>0.774558</v>
      </c>
      <c r="S6" s="1" t="n">
        <v>0.649415</v>
      </c>
      <c r="T6" s="1" t="n">
        <v>0.996597</v>
      </c>
      <c r="U6" s="1" t="n">
        <v>0.862668</v>
      </c>
    </row>
    <row r="7" customFormat="false" ht="14.25" hidden="false" customHeight="false" outlineLevel="0" collapsed="false">
      <c r="A7" s="1" t="s">
        <v>115</v>
      </c>
      <c r="B7" s="9" t="s">
        <v>125</v>
      </c>
      <c r="C7" s="10" t="s">
        <v>23</v>
      </c>
      <c r="D7" s="10" t="s">
        <v>24</v>
      </c>
      <c r="E7" s="11" t="s">
        <v>126</v>
      </c>
      <c r="F7" s="1" t="n">
        <v>325.86</v>
      </c>
      <c r="G7" s="13" t="s">
        <v>118</v>
      </c>
      <c r="H7" s="10" t="n">
        <f aca="false">SUM(I7,N7)/2</f>
        <v>0.750975589285714</v>
      </c>
      <c r="I7" s="10" t="n">
        <f aca="false">SUM(J7:M7)/4</f>
        <v>0.73942075</v>
      </c>
      <c r="J7" s="1" t="n">
        <v>0.842348</v>
      </c>
      <c r="K7" s="1" t="n">
        <v>0.850267</v>
      </c>
      <c r="L7" s="1" t="n">
        <v>0.289228</v>
      </c>
      <c r="M7" s="1" t="n">
        <v>0.97584</v>
      </c>
      <c r="N7" s="10" t="n">
        <f aca="false">SUM(O7:U7)/7</f>
        <v>0.762530428571429</v>
      </c>
      <c r="O7" s="1" t="n">
        <v>0.780434</v>
      </c>
      <c r="P7" s="1" t="n">
        <v>0.639096</v>
      </c>
      <c r="Q7" s="1" t="n">
        <v>0.617643</v>
      </c>
      <c r="R7" s="1" t="n">
        <v>0.772803</v>
      </c>
      <c r="S7" s="1" t="n">
        <v>0.666499</v>
      </c>
      <c r="T7" s="1" t="n">
        <v>0.996971</v>
      </c>
      <c r="U7" s="1" t="n">
        <v>0.864267</v>
      </c>
    </row>
    <row r="8" customFormat="false" ht="14.25" hidden="false" customHeight="false" outlineLevel="0" collapsed="false">
      <c r="A8" s="1" t="s">
        <v>115</v>
      </c>
      <c r="B8" s="9" t="s">
        <v>127</v>
      </c>
      <c r="C8" s="10" t="s">
        <v>23</v>
      </c>
      <c r="D8" s="10" t="s">
        <v>24</v>
      </c>
      <c r="E8" s="11" t="s">
        <v>128</v>
      </c>
      <c r="F8" s="1" t="n">
        <v>355.21</v>
      </c>
      <c r="G8" s="13" t="s">
        <v>118</v>
      </c>
      <c r="H8" s="10" t="n">
        <f aca="false">SUM(I8,N8)/2</f>
        <v>0.750477732142857</v>
      </c>
      <c r="I8" s="10" t="n">
        <f aca="false">SUM(J8:M8)/4</f>
        <v>0.73688375</v>
      </c>
      <c r="J8" s="1" t="n">
        <v>0.842424</v>
      </c>
      <c r="K8" s="1" t="n">
        <v>0.840354</v>
      </c>
      <c r="L8" s="1" t="n">
        <v>0.304777</v>
      </c>
      <c r="M8" s="1" t="n">
        <v>0.95998</v>
      </c>
      <c r="N8" s="10" t="n">
        <f aca="false">SUM(O8:U8)/7</f>
        <v>0.764071714285714</v>
      </c>
      <c r="O8" s="1" t="n">
        <v>0.769227</v>
      </c>
      <c r="P8" s="1" t="n">
        <v>0.61524</v>
      </c>
      <c r="Q8" s="1" t="n">
        <v>0.611381</v>
      </c>
      <c r="R8" s="1" t="n">
        <v>0.817341</v>
      </c>
      <c r="S8" s="1" t="n">
        <v>0.650208</v>
      </c>
      <c r="T8" s="1" t="n">
        <v>0.99523</v>
      </c>
      <c r="U8" s="1" t="n">
        <v>0.889875</v>
      </c>
    </row>
    <row r="9" customFormat="false" ht="14.25" hidden="false" customHeight="false" outlineLevel="0" collapsed="false">
      <c r="A9" s="1" t="s">
        <v>115</v>
      </c>
      <c r="B9" s="9" t="s">
        <v>129</v>
      </c>
      <c r="C9" s="10" t="s">
        <v>23</v>
      </c>
      <c r="D9" s="10" t="s">
        <v>35</v>
      </c>
      <c r="E9" s="11" t="s">
        <v>130</v>
      </c>
      <c r="F9" s="1" t="n">
        <v>383.75</v>
      </c>
      <c r="G9" s="13" t="s">
        <v>118</v>
      </c>
      <c r="H9" s="10" t="n">
        <f aca="false">SUM(I9,N9)/2</f>
        <v>0.750049982142857</v>
      </c>
      <c r="I9" s="10" t="n">
        <f aca="false">SUM(J9:M9)/4</f>
        <v>0.74457025</v>
      </c>
      <c r="J9" s="1" t="n">
        <v>0.849818</v>
      </c>
      <c r="K9" s="1" t="n">
        <v>0.852599</v>
      </c>
      <c r="L9" s="1" t="n">
        <v>0.299177</v>
      </c>
      <c r="M9" s="1" t="n">
        <v>0.976687</v>
      </c>
      <c r="N9" s="10" t="n">
        <f aca="false">SUM(O9:U9)/7</f>
        <v>0.755529714285714</v>
      </c>
      <c r="O9" s="1" t="n">
        <v>0.773425</v>
      </c>
      <c r="P9" s="1" t="n">
        <v>0.610535</v>
      </c>
      <c r="Q9" s="1" t="n">
        <v>0.596003</v>
      </c>
      <c r="R9" s="1" t="n">
        <v>0.783505</v>
      </c>
      <c r="S9" s="1" t="n">
        <v>0.651315</v>
      </c>
      <c r="T9" s="1" t="n">
        <v>0.995362</v>
      </c>
      <c r="U9" s="1" t="n">
        <v>0.878563</v>
      </c>
    </row>
    <row r="10" customFormat="false" ht="14.25" hidden="false" customHeight="false" outlineLevel="0" collapsed="false">
      <c r="A10" s="1" t="s">
        <v>115</v>
      </c>
      <c r="B10" s="9" t="s">
        <v>131</v>
      </c>
      <c r="C10" s="10" t="s">
        <v>23</v>
      </c>
      <c r="D10" s="10" t="s">
        <v>35</v>
      </c>
      <c r="E10" s="11" t="s">
        <v>132</v>
      </c>
      <c r="F10" s="1" t="n">
        <v>426.05</v>
      </c>
      <c r="G10" s="13" t="s">
        <v>118</v>
      </c>
      <c r="H10" s="10" t="n">
        <f aca="false">SUM(I10,N10)/2</f>
        <v>0.749467107142857</v>
      </c>
      <c r="I10" s="10" t="n">
        <f aca="false">SUM(J10:M10)/4</f>
        <v>0.7421285</v>
      </c>
      <c r="J10" s="1" t="n">
        <v>0.847171</v>
      </c>
      <c r="K10" s="1" t="n">
        <v>0.845466</v>
      </c>
      <c r="L10" s="1" t="n">
        <v>0.304804</v>
      </c>
      <c r="M10" s="1" t="n">
        <v>0.971073</v>
      </c>
      <c r="N10" s="10" t="n">
        <f aca="false">SUM(O10:U10)/7</f>
        <v>0.756805714285714</v>
      </c>
      <c r="O10" s="1" t="n">
        <v>0.763564</v>
      </c>
      <c r="P10" s="1" t="n">
        <v>0.621101</v>
      </c>
      <c r="Q10" s="1" t="n">
        <v>0.597263</v>
      </c>
      <c r="R10" s="1" t="n">
        <v>0.821704</v>
      </c>
      <c r="S10" s="1" t="n">
        <v>0.621231</v>
      </c>
      <c r="T10" s="1" t="n">
        <v>0.995366</v>
      </c>
      <c r="U10" s="1" t="n">
        <v>0.877411</v>
      </c>
    </row>
    <row r="11" customFormat="false" ht="14.25" hidden="false" customHeight="false" outlineLevel="0" collapsed="false">
      <c r="A11" s="1" t="s">
        <v>115</v>
      </c>
      <c r="B11" s="9" t="s">
        <v>133</v>
      </c>
      <c r="C11" s="10" t="s">
        <v>23</v>
      </c>
      <c r="D11" s="10" t="s">
        <v>24</v>
      </c>
      <c r="E11" s="11" t="s">
        <v>134</v>
      </c>
      <c r="F11" s="1" t="n">
        <v>705.42</v>
      </c>
      <c r="G11" s="13" t="s">
        <v>118</v>
      </c>
      <c r="H11" s="10" t="n">
        <f aca="false">SUM(I11,N11)/2</f>
        <v>0.749449053571429</v>
      </c>
      <c r="I11" s="10" t="n">
        <f aca="false">SUM(J11:M11)/4</f>
        <v>0.73327125</v>
      </c>
      <c r="J11" s="1" t="n">
        <v>0.834115</v>
      </c>
      <c r="K11" s="1" t="n">
        <v>0.848951</v>
      </c>
      <c r="L11" s="1" t="n">
        <v>0.286072</v>
      </c>
      <c r="M11" s="1" t="n">
        <v>0.963947</v>
      </c>
      <c r="N11" s="10" t="n">
        <f aca="false">SUM(O11:U11)/7</f>
        <v>0.765626857142857</v>
      </c>
      <c r="O11" s="1" t="n">
        <v>0.775237</v>
      </c>
      <c r="P11" s="1" t="n">
        <v>0.624925</v>
      </c>
      <c r="Q11" s="1" t="n">
        <v>0.624359</v>
      </c>
      <c r="R11" s="1" t="n">
        <v>0.789991</v>
      </c>
      <c r="S11" s="1" t="n">
        <v>0.666732</v>
      </c>
      <c r="T11" s="1" t="n">
        <v>0.997212</v>
      </c>
      <c r="U11" s="1" t="n">
        <v>0.880932</v>
      </c>
    </row>
    <row r="12" customFormat="false" ht="14.25" hidden="false" customHeight="false" outlineLevel="0" collapsed="false">
      <c r="A12" s="1" t="s">
        <v>115</v>
      </c>
      <c r="B12" s="9" t="s">
        <v>135</v>
      </c>
      <c r="C12" s="10" t="s">
        <v>23</v>
      </c>
      <c r="D12" s="10" t="s">
        <v>35</v>
      </c>
      <c r="E12" s="11" t="s">
        <v>136</v>
      </c>
      <c r="F12" s="1" t="n">
        <v>496.68</v>
      </c>
      <c r="G12" s="13" t="s">
        <v>118</v>
      </c>
      <c r="H12" s="10" t="n">
        <f aca="false">SUM(I12,N12)/2</f>
        <v>0.748897696428571</v>
      </c>
      <c r="I12" s="10" t="n">
        <f aca="false">SUM(J12:M12)/4</f>
        <v>0.73946625</v>
      </c>
      <c r="J12" s="1" t="n">
        <v>0.855754</v>
      </c>
      <c r="K12" s="1" t="n">
        <v>0.829494</v>
      </c>
      <c r="L12" s="1" t="n">
        <v>0.293868</v>
      </c>
      <c r="M12" s="1" t="n">
        <v>0.978749</v>
      </c>
      <c r="N12" s="10" t="n">
        <f aca="false">SUM(O12:U12)/7</f>
        <v>0.758329142857143</v>
      </c>
      <c r="O12" s="1" t="n">
        <v>0.776388</v>
      </c>
      <c r="P12" s="1" t="n">
        <v>0.61476</v>
      </c>
      <c r="Q12" s="1" t="n">
        <v>0.599264</v>
      </c>
      <c r="R12" s="1" t="n">
        <v>0.813501</v>
      </c>
      <c r="S12" s="1" t="n">
        <v>0.632628</v>
      </c>
      <c r="T12" s="1" t="n">
        <v>0.996099</v>
      </c>
      <c r="U12" s="1" t="n">
        <v>0.875664</v>
      </c>
    </row>
    <row r="13" customFormat="false" ht="14.25" hidden="false" customHeight="false" outlineLevel="0" collapsed="false">
      <c r="A13" s="1" t="s">
        <v>115</v>
      </c>
      <c r="B13" s="9" t="s">
        <v>131</v>
      </c>
      <c r="C13" s="10" t="s">
        <v>23</v>
      </c>
      <c r="D13" s="10" t="s">
        <v>24</v>
      </c>
      <c r="E13" s="11" t="s">
        <v>137</v>
      </c>
      <c r="F13" s="1" t="n">
        <v>302.06</v>
      </c>
      <c r="G13" s="13" t="s">
        <v>118</v>
      </c>
      <c r="H13" s="10" t="n">
        <f aca="false">SUM(I13,N13)/2</f>
        <v>0.748782017857143</v>
      </c>
      <c r="I13" s="10" t="n">
        <f aca="false">SUM(J13:M13)/4</f>
        <v>0.74366875</v>
      </c>
      <c r="J13" s="1" t="n">
        <v>0.8399</v>
      </c>
      <c r="K13" s="1" t="n">
        <v>0.858507</v>
      </c>
      <c r="L13" s="1" t="n">
        <v>0.302655</v>
      </c>
      <c r="M13" s="1" t="n">
        <v>0.973613</v>
      </c>
      <c r="N13" s="10" t="n">
        <f aca="false">SUM(O13:U13)/7</f>
        <v>0.753895285714286</v>
      </c>
      <c r="O13" s="1" t="n">
        <v>0.774412</v>
      </c>
      <c r="P13" s="1" t="n">
        <v>0.610638</v>
      </c>
      <c r="Q13" s="1" t="n">
        <v>0.615691</v>
      </c>
      <c r="R13" s="1" t="n">
        <v>0.767631</v>
      </c>
      <c r="S13" s="1" t="n">
        <v>0.646975</v>
      </c>
      <c r="T13" s="1" t="n">
        <v>0.995851</v>
      </c>
      <c r="U13" s="1" t="n">
        <v>0.866069</v>
      </c>
    </row>
    <row r="14" customFormat="false" ht="14.25" hidden="false" customHeight="false" outlineLevel="0" collapsed="false">
      <c r="A14" s="1" t="s">
        <v>115</v>
      </c>
      <c r="B14" s="9" t="s">
        <v>138</v>
      </c>
      <c r="C14" s="10" t="s">
        <v>23</v>
      </c>
      <c r="D14" s="10" t="s">
        <v>24</v>
      </c>
      <c r="E14" s="11" t="s">
        <v>139</v>
      </c>
      <c r="F14" s="1" t="n">
        <v>289.86</v>
      </c>
      <c r="G14" s="13" t="s">
        <v>118</v>
      </c>
      <c r="H14" s="10" t="n">
        <f aca="false">SUM(I14,N14)/2</f>
        <v>0.748639053571429</v>
      </c>
      <c r="I14" s="10" t="n">
        <f aca="false">SUM(J14:M14)/4</f>
        <v>0.74370125</v>
      </c>
      <c r="J14" s="1" t="n">
        <v>0.850084</v>
      </c>
      <c r="K14" s="1" t="n">
        <v>0.86142</v>
      </c>
      <c r="L14" s="1" t="n">
        <v>0.293815</v>
      </c>
      <c r="M14" s="1" t="n">
        <v>0.969486</v>
      </c>
      <c r="N14" s="10" t="n">
        <f aca="false">SUM(O14:U14)/7</f>
        <v>0.753576857142857</v>
      </c>
      <c r="O14" s="1" t="n">
        <v>0.773196</v>
      </c>
      <c r="P14" s="1" t="n">
        <v>0.606775</v>
      </c>
      <c r="Q14" s="1" t="n">
        <v>0.610228</v>
      </c>
      <c r="R14" s="1" t="n">
        <v>0.769574</v>
      </c>
      <c r="S14" s="1" t="n">
        <v>0.638982</v>
      </c>
      <c r="T14" s="1" t="n">
        <v>0.996453</v>
      </c>
      <c r="U14" s="1" t="n">
        <v>0.87983</v>
      </c>
    </row>
    <row r="15" customFormat="false" ht="14.25" hidden="false" customHeight="false" outlineLevel="0" collapsed="false">
      <c r="A15" s="1" t="s">
        <v>115</v>
      </c>
      <c r="B15" s="9" t="s">
        <v>140</v>
      </c>
      <c r="C15" s="10" t="s">
        <v>23</v>
      </c>
      <c r="D15" s="10" t="s">
        <v>35</v>
      </c>
      <c r="E15" s="11" t="s">
        <v>141</v>
      </c>
      <c r="F15" s="1" t="n">
        <v>635.55</v>
      </c>
      <c r="G15" s="13" t="s">
        <v>118</v>
      </c>
      <c r="H15" s="10" t="n">
        <f aca="false">SUM(I15,N15)/2</f>
        <v>0.748544821428572</v>
      </c>
      <c r="I15" s="10" t="n">
        <f aca="false">SUM(J15:M15)/4</f>
        <v>0.7365995</v>
      </c>
      <c r="J15" s="1" t="n">
        <v>0.847999</v>
      </c>
      <c r="K15" s="1" t="n">
        <v>0.828379</v>
      </c>
      <c r="L15" s="1" t="n">
        <v>0.306961</v>
      </c>
      <c r="M15" s="1" t="n">
        <v>0.963059</v>
      </c>
      <c r="N15" s="10" t="n">
        <f aca="false">SUM(O15:U15)/7</f>
        <v>0.760490142857143</v>
      </c>
      <c r="O15" s="1" t="n">
        <v>0.771904</v>
      </c>
      <c r="P15" s="1" t="n">
        <v>0.61609</v>
      </c>
      <c r="Q15" s="1" t="n">
        <v>0.602075</v>
      </c>
      <c r="R15" s="1" t="n">
        <v>0.814333</v>
      </c>
      <c r="S15" s="1" t="n">
        <v>0.642902</v>
      </c>
      <c r="T15" s="1" t="n">
        <v>0.994849</v>
      </c>
      <c r="U15" s="1" t="n">
        <v>0.881278</v>
      </c>
    </row>
    <row r="16" customFormat="false" ht="14.25" hidden="false" customHeight="false" outlineLevel="0" collapsed="false">
      <c r="A16" s="1" t="s">
        <v>115</v>
      </c>
      <c r="B16" s="9" t="s">
        <v>142</v>
      </c>
      <c r="C16" s="10" t="s">
        <v>23</v>
      </c>
      <c r="D16" s="10" t="s">
        <v>35</v>
      </c>
      <c r="E16" s="11" t="s">
        <v>143</v>
      </c>
      <c r="F16" s="1" t="n">
        <v>451.18</v>
      </c>
      <c r="G16" s="13" t="s">
        <v>118</v>
      </c>
      <c r="H16" s="10" t="n">
        <f aca="false">SUM(I16,N16)/2</f>
        <v>0.748376214285714</v>
      </c>
      <c r="I16" s="10" t="n">
        <f aca="false">SUM(J16:M16)/4</f>
        <v>0.739157</v>
      </c>
      <c r="J16" s="1" t="n">
        <v>0.839326</v>
      </c>
      <c r="K16" s="1" t="n">
        <v>0.847763</v>
      </c>
      <c r="L16" s="1" t="n">
        <v>0.296028</v>
      </c>
      <c r="M16" s="1" t="n">
        <v>0.973511</v>
      </c>
      <c r="N16" s="10" t="n">
        <f aca="false">SUM(O16:U16)/7</f>
        <v>0.757595428571429</v>
      </c>
      <c r="O16" s="1" t="n">
        <v>0.763774</v>
      </c>
      <c r="P16" s="1" t="n">
        <v>0.589131</v>
      </c>
      <c r="Q16" s="1" t="n">
        <v>0.604532</v>
      </c>
      <c r="R16" s="1" t="n">
        <v>0.832376</v>
      </c>
      <c r="S16" s="1" t="n">
        <v>0.649465</v>
      </c>
      <c r="T16" s="1" t="n">
        <v>0.995977</v>
      </c>
      <c r="U16" s="1" t="n">
        <v>0.867913</v>
      </c>
    </row>
    <row r="17" customFormat="false" ht="14.25" hidden="false" customHeight="false" outlineLevel="0" collapsed="false">
      <c r="A17" s="1" t="s">
        <v>115</v>
      </c>
      <c r="B17" s="9" t="s">
        <v>135</v>
      </c>
      <c r="C17" s="10" t="s">
        <v>23</v>
      </c>
      <c r="D17" s="10" t="s">
        <v>24</v>
      </c>
      <c r="E17" s="11" t="s">
        <v>144</v>
      </c>
      <c r="F17" s="1" t="n">
        <v>398.4</v>
      </c>
      <c r="G17" s="13" t="s">
        <v>118</v>
      </c>
      <c r="H17" s="10" t="n">
        <f aca="false">SUM(I17,N17)/2</f>
        <v>0.748197196428571</v>
      </c>
      <c r="I17" s="10" t="n">
        <f aca="false">SUM(J17:M17)/4</f>
        <v>0.74203125</v>
      </c>
      <c r="J17" s="1" t="n">
        <v>0.841432</v>
      </c>
      <c r="K17" s="1" t="n">
        <v>0.87029</v>
      </c>
      <c r="L17" s="1" t="n">
        <v>0.293327</v>
      </c>
      <c r="M17" s="1" t="n">
        <v>0.963076</v>
      </c>
      <c r="N17" s="10" t="n">
        <f aca="false">SUM(O17:U17)/7</f>
        <v>0.754363142857143</v>
      </c>
      <c r="O17" s="1" t="n">
        <v>0.768871</v>
      </c>
      <c r="P17" s="1" t="n">
        <v>0.594374</v>
      </c>
      <c r="Q17" s="1" t="n">
        <v>0.6057</v>
      </c>
      <c r="R17" s="1" t="n">
        <v>0.768693</v>
      </c>
      <c r="S17" s="1" t="n">
        <v>0.664102</v>
      </c>
      <c r="T17" s="1" t="n">
        <v>0.996544</v>
      </c>
      <c r="U17" s="1" t="n">
        <v>0.882258</v>
      </c>
    </row>
    <row r="18" customFormat="false" ht="14.25" hidden="false" customHeight="false" outlineLevel="0" collapsed="false">
      <c r="A18" s="1" t="s">
        <v>115</v>
      </c>
      <c r="B18" s="9" t="s">
        <v>145</v>
      </c>
      <c r="C18" s="10" t="s">
        <v>23</v>
      </c>
      <c r="D18" s="10" t="s">
        <v>35</v>
      </c>
      <c r="E18" s="11" t="s">
        <v>146</v>
      </c>
      <c r="F18" s="1" t="n">
        <v>473.28</v>
      </c>
      <c r="G18" s="13" t="s">
        <v>118</v>
      </c>
      <c r="H18" s="10" t="n">
        <f aca="false">SUM(I18,N18)/2</f>
        <v>0.747765125</v>
      </c>
      <c r="I18" s="10" t="n">
        <f aca="false">SUM(J18:M18)/4</f>
        <v>0.74129525</v>
      </c>
      <c r="J18" s="1" t="n">
        <v>0.839705</v>
      </c>
      <c r="K18" s="1" t="n">
        <v>0.850983</v>
      </c>
      <c r="L18" s="1" t="n">
        <v>0.304458</v>
      </c>
      <c r="M18" s="1" t="n">
        <v>0.970035</v>
      </c>
      <c r="N18" s="10" t="n">
        <f aca="false">SUM(O18:U18)/7</f>
        <v>0.754235</v>
      </c>
      <c r="O18" s="1" t="n">
        <v>0.768709</v>
      </c>
      <c r="P18" s="1" t="n">
        <v>0.622298</v>
      </c>
      <c r="Q18" s="1" t="n">
        <v>0.603552</v>
      </c>
      <c r="R18" s="1" t="n">
        <v>0.764167</v>
      </c>
      <c r="S18" s="1" t="n">
        <v>0.655611</v>
      </c>
      <c r="T18" s="1" t="n">
        <v>0.995457</v>
      </c>
      <c r="U18" s="1" t="n">
        <v>0.869851</v>
      </c>
    </row>
    <row r="19" customFormat="false" ht="14.25" hidden="false" customHeight="false" outlineLevel="0" collapsed="false">
      <c r="A19" s="1" t="s">
        <v>115</v>
      </c>
      <c r="B19" s="9" t="s">
        <v>147</v>
      </c>
      <c r="C19" s="10" t="s">
        <v>23</v>
      </c>
      <c r="D19" s="10" t="s">
        <v>35</v>
      </c>
      <c r="E19" s="11" t="s">
        <v>148</v>
      </c>
      <c r="F19" s="1" t="n">
        <v>353.58</v>
      </c>
      <c r="G19" s="13" t="s">
        <v>118</v>
      </c>
      <c r="H19" s="10" t="n">
        <f aca="false">SUM(I19,N19)/2</f>
        <v>0.747580482142857</v>
      </c>
      <c r="I19" s="10" t="n">
        <f aca="false">SUM(J19:M19)/4</f>
        <v>0.74059725</v>
      </c>
      <c r="J19" s="1" t="n">
        <v>0.855711</v>
      </c>
      <c r="K19" s="1" t="n">
        <v>0.835949</v>
      </c>
      <c r="L19" s="1" t="n">
        <v>0.307256</v>
      </c>
      <c r="M19" s="1" t="n">
        <v>0.963473</v>
      </c>
      <c r="N19" s="10" t="n">
        <f aca="false">SUM(O19:U19)/7</f>
        <v>0.754563714285714</v>
      </c>
      <c r="O19" s="1" t="n">
        <v>0.764857</v>
      </c>
      <c r="P19" s="1" t="n">
        <v>0.596187</v>
      </c>
      <c r="Q19" s="1" t="n">
        <v>0.604237</v>
      </c>
      <c r="R19" s="1" t="n">
        <v>0.816991</v>
      </c>
      <c r="S19" s="1" t="n">
        <v>0.634056</v>
      </c>
      <c r="T19" s="1" t="n">
        <v>0.993791</v>
      </c>
      <c r="U19" s="1" t="n">
        <v>0.871827</v>
      </c>
    </row>
    <row r="20" customFormat="false" ht="14.25" hidden="false" customHeight="false" outlineLevel="0" collapsed="false">
      <c r="A20" s="1" t="s">
        <v>115</v>
      </c>
      <c r="B20" s="9" t="s">
        <v>140</v>
      </c>
      <c r="C20" s="10" t="s">
        <v>23</v>
      </c>
      <c r="D20" s="10" t="s">
        <v>24</v>
      </c>
      <c r="E20" s="11" t="s">
        <v>149</v>
      </c>
      <c r="F20" s="1" t="n">
        <v>526.78</v>
      </c>
      <c r="G20" s="13" t="s">
        <v>118</v>
      </c>
      <c r="H20" s="10" t="n">
        <f aca="false">SUM(I20,N20)/2</f>
        <v>0.747405482142857</v>
      </c>
      <c r="I20" s="10" t="n">
        <f aca="false">SUM(J20:M20)/4</f>
        <v>0.73785125</v>
      </c>
      <c r="J20" s="1" t="n">
        <v>0.838791</v>
      </c>
      <c r="K20" s="1" t="n">
        <v>0.845065</v>
      </c>
      <c r="L20" s="1" t="n">
        <v>0.299172</v>
      </c>
      <c r="M20" s="1" t="n">
        <v>0.968377</v>
      </c>
      <c r="N20" s="10" t="n">
        <f aca="false">SUM(O20:U20)/7</f>
        <v>0.756959714285714</v>
      </c>
      <c r="O20" s="1" t="n">
        <v>0.773169</v>
      </c>
      <c r="P20" s="1" t="n">
        <v>0.615932</v>
      </c>
      <c r="Q20" s="1" t="n">
        <v>0.608238</v>
      </c>
      <c r="R20" s="1" t="n">
        <v>0.78567</v>
      </c>
      <c r="S20" s="1" t="n">
        <v>0.656107</v>
      </c>
      <c r="T20" s="1" t="n">
        <v>0.995797</v>
      </c>
      <c r="U20" s="1" t="n">
        <v>0.863805</v>
      </c>
    </row>
    <row r="21" customFormat="false" ht="14.25" hidden="false" customHeight="false" outlineLevel="0" collapsed="false">
      <c r="A21" s="1" t="s">
        <v>115</v>
      </c>
      <c r="B21" s="9" t="s">
        <v>150</v>
      </c>
      <c r="C21" s="10" t="s">
        <v>23</v>
      </c>
      <c r="D21" s="10" t="s">
        <v>35</v>
      </c>
      <c r="E21" s="11" t="s">
        <v>151</v>
      </c>
      <c r="F21" s="1" t="n">
        <v>449.2</v>
      </c>
      <c r="G21" s="13" t="s">
        <v>118</v>
      </c>
      <c r="H21" s="10" t="n">
        <f aca="false">SUM(I21,N21)/2</f>
        <v>0.74728</v>
      </c>
      <c r="I21" s="10" t="n">
        <f aca="false">SUM(J21:M21)/4</f>
        <v>0.735465</v>
      </c>
      <c r="J21" s="1" t="n">
        <v>0.856433</v>
      </c>
      <c r="K21" s="1" t="n">
        <v>0.820207</v>
      </c>
      <c r="L21" s="1" t="n">
        <v>0.283713</v>
      </c>
      <c r="M21" s="1" t="n">
        <v>0.981507</v>
      </c>
      <c r="N21" s="10" t="n">
        <f aca="false">SUM(O21:U21)/7</f>
        <v>0.759095</v>
      </c>
      <c r="O21" s="1" t="n">
        <v>0.777125</v>
      </c>
      <c r="P21" s="1" t="n">
        <v>0.611786</v>
      </c>
      <c r="Q21" s="1" t="n">
        <v>0.593983</v>
      </c>
      <c r="R21" s="1" t="n">
        <v>0.829582</v>
      </c>
      <c r="S21" s="1" t="n">
        <v>0.651986</v>
      </c>
      <c r="T21" s="1" t="n">
        <v>0.995854</v>
      </c>
      <c r="U21" s="1" t="n">
        <v>0.853349</v>
      </c>
    </row>
    <row r="22" customFormat="false" ht="14.25" hidden="false" customHeight="false" outlineLevel="0" collapsed="false">
      <c r="A22" s="1" t="s">
        <v>115</v>
      </c>
      <c r="B22" s="9" t="s">
        <v>152</v>
      </c>
      <c r="C22" s="10" t="s">
        <v>23</v>
      </c>
      <c r="D22" s="10" t="s">
        <v>24</v>
      </c>
      <c r="E22" s="11" t="s">
        <v>153</v>
      </c>
      <c r="F22" s="1" t="n">
        <v>382.23</v>
      </c>
      <c r="G22" s="13" t="s">
        <v>118</v>
      </c>
      <c r="H22" s="10" t="n">
        <f aca="false">SUM(I22,N22)/2</f>
        <v>0.747144160714286</v>
      </c>
      <c r="I22" s="10" t="n">
        <f aca="false">SUM(J22:M22)/4</f>
        <v>0.73473575</v>
      </c>
      <c r="J22" s="1" t="n">
        <v>0.836644</v>
      </c>
      <c r="K22" s="1" t="n">
        <v>0.832982</v>
      </c>
      <c r="L22" s="1" t="n">
        <v>0.307286</v>
      </c>
      <c r="M22" s="1" t="n">
        <v>0.962031</v>
      </c>
      <c r="N22" s="10" t="n">
        <f aca="false">SUM(O22:U22)/7</f>
        <v>0.759552571428572</v>
      </c>
      <c r="O22" s="1" t="n">
        <v>0.771573</v>
      </c>
      <c r="P22" s="1" t="n">
        <v>0.611816</v>
      </c>
      <c r="Q22" s="1" t="n">
        <v>0.613174</v>
      </c>
      <c r="R22" s="1" t="n">
        <v>0.812121</v>
      </c>
      <c r="S22" s="1" t="n">
        <v>0.631235</v>
      </c>
      <c r="T22" s="1" t="n">
        <v>0.995187</v>
      </c>
      <c r="U22" s="1" t="n">
        <v>0.881762</v>
      </c>
    </row>
    <row r="23" customFormat="false" ht="14.25" hidden="false" customHeight="false" outlineLevel="0" collapsed="false">
      <c r="A23" s="1" t="s">
        <v>115</v>
      </c>
      <c r="B23" s="9" t="s">
        <v>142</v>
      </c>
      <c r="C23" s="10" t="s">
        <v>23</v>
      </c>
      <c r="D23" s="10" t="s">
        <v>24</v>
      </c>
      <c r="E23" s="11" t="s">
        <v>154</v>
      </c>
      <c r="F23" s="1" t="n">
        <v>358.14</v>
      </c>
      <c r="G23" s="13" t="s">
        <v>118</v>
      </c>
      <c r="H23" s="10" t="n">
        <f aca="false">SUM(I23,N23)/2</f>
        <v>0.746638142857143</v>
      </c>
      <c r="I23" s="10" t="n">
        <f aca="false">SUM(J23:M23)/4</f>
        <v>0.738601</v>
      </c>
      <c r="J23" s="1" t="n">
        <v>0.84567</v>
      </c>
      <c r="K23" s="1" t="n">
        <v>0.855088</v>
      </c>
      <c r="L23" s="1" t="n">
        <v>0.287649</v>
      </c>
      <c r="M23" s="1" t="n">
        <v>0.965997</v>
      </c>
      <c r="N23" s="10" t="n">
        <f aca="false">SUM(O23:U23)/7</f>
        <v>0.754675285714286</v>
      </c>
      <c r="O23" s="1" t="n">
        <v>0.777488</v>
      </c>
      <c r="P23" s="1" t="n">
        <v>0.634624</v>
      </c>
      <c r="Q23" s="1" t="n">
        <v>0.61132</v>
      </c>
      <c r="R23" s="1" t="n">
        <v>0.766223</v>
      </c>
      <c r="S23" s="1" t="n">
        <v>0.638456</v>
      </c>
      <c r="T23" s="1" t="n">
        <v>0.996662</v>
      </c>
      <c r="U23" s="1" t="n">
        <v>0.857954</v>
      </c>
    </row>
    <row r="24" customFormat="false" ht="14.25" hidden="false" customHeight="false" outlineLevel="0" collapsed="false">
      <c r="A24" s="1" t="s">
        <v>115</v>
      </c>
      <c r="B24" s="9" t="s">
        <v>155</v>
      </c>
      <c r="C24" s="10" t="s">
        <v>23</v>
      </c>
      <c r="D24" s="10" t="s">
        <v>35</v>
      </c>
      <c r="E24" s="11" t="s">
        <v>156</v>
      </c>
      <c r="F24" s="1" t="n">
        <v>406.93</v>
      </c>
      <c r="G24" s="13" t="s">
        <v>118</v>
      </c>
      <c r="H24" s="10" t="n">
        <f aca="false">SUM(I24,N24)/2</f>
        <v>0.746350964285714</v>
      </c>
      <c r="I24" s="10" t="n">
        <f aca="false">SUM(J24:M24)/4</f>
        <v>0.7380215</v>
      </c>
      <c r="J24" s="1" t="n">
        <v>0.840902</v>
      </c>
      <c r="K24" s="1" t="n">
        <v>0.839411</v>
      </c>
      <c r="L24" s="1" t="n">
        <v>0.306682</v>
      </c>
      <c r="M24" s="1" t="n">
        <v>0.965091</v>
      </c>
      <c r="N24" s="10" t="n">
        <f aca="false">SUM(O24:U24)/7</f>
        <v>0.754680428571429</v>
      </c>
      <c r="O24" s="1" t="n">
        <v>0.762748</v>
      </c>
      <c r="P24" s="1" t="n">
        <v>0.597105</v>
      </c>
      <c r="Q24" s="1" t="n">
        <v>0.59546</v>
      </c>
      <c r="R24" s="1" t="n">
        <v>0.808106</v>
      </c>
      <c r="S24" s="1" t="n">
        <v>0.649287</v>
      </c>
      <c r="T24" s="1" t="n">
        <v>0.994825</v>
      </c>
      <c r="U24" s="1" t="n">
        <v>0.875232</v>
      </c>
    </row>
    <row r="25" customFormat="false" ht="14.25" hidden="false" customHeight="false" outlineLevel="0" collapsed="false">
      <c r="A25" s="1" t="s">
        <v>115</v>
      </c>
      <c r="B25" s="9" t="s">
        <v>157</v>
      </c>
      <c r="C25" s="10" t="s">
        <v>23</v>
      </c>
      <c r="D25" s="10" t="s">
        <v>35</v>
      </c>
      <c r="E25" s="11" t="s">
        <v>158</v>
      </c>
      <c r="F25" s="1" t="n">
        <v>767.14</v>
      </c>
      <c r="G25" s="13" t="s">
        <v>118</v>
      </c>
      <c r="H25" s="10" t="n">
        <f aca="false">SUM(I25,N25)/2</f>
        <v>0.746208089285714</v>
      </c>
      <c r="I25" s="10" t="n">
        <f aca="false">SUM(J25:M25)/4</f>
        <v>0.73126475</v>
      </c>
      <c r="J25" s="1" t="n">
        <v>0.848581</v>
      </c>
      <c r="K25" s="1" t="n">
        <v>0.811397</v>
      </c>
      <c r="L25" s="1" t="n">
        <v>0.294481</v>
      </c>
      <c r="M25" s="1" t="n">
        <v>0.9706</v>
      </c>
      <c r="N25" s="10" t="n">
        <f aca="false">SUM(O25:U25)/7</f>
        <v>0.761151428571429</v>
      </c>
      <c r="O25" s="1" t="n">
        <v>0.780599</v>
      </c>
      <c r="P25" s="1" t="n">
        <v>0.616617</v>
      </c>
      <c r="Q25" s="1" t="n">
        <v>0.593541</v>
      </c>
      <c r="R25" s="1" t="n">
        <v>0.819272</v>
      </c>
      <c r="S25" s="1" t="n">
        <v>0.640466</v>
      </c>
      <c r="T25" s="1" t="n">
        <v>0.996102</v>
      </c>
      <c r="U25" s="1" t="n">
        <v>0.881463</v>
      </c>
    </row>
    <row r="26" customFormat="false" ht="14.25" hidden="false" customHeight="false" outlineLevel="0" collapsed="false">
      <c r="A26" s="1" t="s">
        <v>115</v>
      </c>
      <c r="B26" s="9" t="s">
        <v>159</v>
      </c>
      <c r="C26" s="10" t="s">
        <v>23</v>
      </c>
      <c r="D26" s="10" t="s">
        <v>24</v>
      </c>
      <c r="E26" s="11" t="s">
        <v>160</v>
      </c>
      <c r="F26" s="1" t="n">
        <v>301.17</v>
      </c>
      <c r="G26" s="13" t="s">
        <v>118</v>
      </c>
      <c r="H26" s="10" t="n">
        <f aca="false">SUM(I26,N26)/2</f>
        <v>0.746046089285714</v>
      </c>
      <c r="I26" s="10" t="n">
        <f aca="false">SUM(J26:M26)/4</f>
        <v>0.73923375</v>
      </c>
      <c r="J26" s="1" t="n">
        <v>0.842336</v>
      </c>
      <c r="K26" s="1" t="n">
        <v>0.851765</v>
      </c>
      <c r="L26" s="1" t="n">
        <v>0.295903</v>
      </c>
      <c r="M26" s="1" t="n">
        <v>0.966931</v>
      </c>
      <c r="N26" s="10" t="n">
        <f aca="false">SUM(O26:U26)/7</f>
        <v>0.752858428571429</v>
      </c>
      <c r="O26" s="1" t="n">
        <v>0.767267</v>
      </c>
      <c r="P26" s="1" t="n">
        <v>0.60658</v>
      </c>
      <c r="Q26" s="1" t="n">
        <v>0.600907</v>
      </c>
      <c r="R26" s="1" t="n">
        <v>0.772881</v>
      </c>
      <c r="S26" s="1" t="n">
        <v>0.652727</v>
      </c>
      <c r="T26" s="1" t="n">
        <v>0.996441</v>
      </c>
      <c r="U26" s="1" t="n">
        <v>0.873206</v>
      </c>
    </row>
    <row r="27" customFormat="false" ht="14.25" hidden="false" customHeight="false" outlineLevel="0" collapsed="false">
      <c r="A27" s="1" t="s">
        <v>115</v>
      </c>
      <c r="B27" s="9" t="s">
        <v>161</v>
      </c>
      <c r="C27" s="10" t="s">
        <v>23</v>
      </c>
      <c r="D27" s="10" t="s">
        <v>35</v>
      </c>
      <c r="E27" s="11" t="s">
        <v>162</v>
      </c>
      <c r="F27" s="1" t="n">
        <v>447.6</v>
      </c>
      <c r="G27" s="13" t="s">
        <v>118</v>
      </c>
      <c r="H27" s="10" t="n">
        <f aca="false">SUM(I27,N27)/2</f>
        <v>0.74597675</v>
      </c>
      <c r="I27" s="10" t="n">
        <f aca="false">SUM(J27:M27)/4</f>
        <v>0.7335615</v>
      </c>
      <c r="J27" s="1" t="n">
        <v>0.843332</v>
      </c>
      <c r="K27" s="1" t="n">
        <v>0.809863</v>
      </c>
      <c r="L27" s="1" t="n">
        <v>0.309265</v>
      </c>
      <c r="M27" s="1" t="n">
        <v>0.971786</v>
      </c>
      <c r="N27" s="10" t="n">
        <f aca="false">SUM(O27:U27)/7</f>
        <v>0.758392</v>
      </c>
      <c r="O27" s="1" t="n">
        <v>0.778536</v>
      </c>
      <c r="P27" s="1" t="n">
        <v>0.616413</v>
      </c>
      <c r="Q27" s="1" t="n">
        <v>0.603217</v>
      </c>
      <c r="R27" s="1" t="n">
        <v>0.805725</v>
      </c>
      <c r="S27" s="1" t="n">
        <v>0.631428</v>
      </c>
      <c r="T27" s="1" t="n">
        <v>0.995053</v>
      </c>
      <c r="U27" s="1" t="n">
        <v>0.878372</v>
      </c>
    </row>
    <row r="28" customFormat="false" ht="14.25" hidden="false" customHeight="false" outlineLevel="0" collapsed="false">
      <c r="A28" s="1" t="s">
        <v>115</v>
      </c>
      <c r="B28" s="9" t="s">
        <v>163</v>
      </c>
      <c r="C28" s="10" t="s">
        <v>23</v>
      </c>
      <c r="D28" s="10" t="s">
        <v>24</v>
      </c>
      <c r="E28" s="11" t="s">
        <v>164</v>
      </c>
      <c r="F28" s="1" t="n">
        <v>374.37</v>
      </c>
      <c r="G28" s="13" t="s">
        <v>118</v>
      </c>
      <c r="H28" s="10" t="n">
        <f aca="false">SUM(I28,N28)/2</f>
        <v>0.745790428571429</v>
      </c>
      <c r="I28" s="10" t="n">
        <f aca="false">SUM(J28:M28)/4</f>
        <v>0.733061</v>
      </c>
      <c r="J28" s="1" t="n">
        <v>0.823438</v>
      </c>
      <c r="K28" s="1" t="n">
        <v>0.857965</v>
      </c>
      <c r="L28" s="1" t="n">
        <v>0.294396</v>
      </c>
      <c r="M28" s="1" t="n">
        <v>0.956445</v>
      </c>
      <c r="N28" s="10" t="n">
        <f aca="false">SUM(O28:U28)/7</f>
        <v>0.758519857142857</v>
      </c>
      <c r="O28" s="1" t="n">
        <v>0.765714</v>
      </c>
      <c r="P28" s="1" t="n">
        <v>0.601572</v>
      </c>
      <c r="Q28" s="1" t="n">
        <v>0.619691</v>
      </c>
      <c r="R28" s="1" t="n">
        <v>0.773226</v>
      </c>
      <c r="S28" s="1" t="n">
        <v>0.671578</v>
      </c>
      <c r="T28" s="1" t="n">
        <v>0.99703</v>
      </c>
      <c r="U28" s="1" t="n">
        <v>0.880828</v>
      </c>
    </row>
    <row r="29" customFormat="false" ht="14.25" hidden="false" customHeight="false" outlineLevel="0" collapsed="false">
      <c r="A29" s="1" t="s">
        <v>115</v>
      </c>
      <c r="B29" s="9" t="s">
        <v>127</v>
      </c>
      <c r="C29" s="10" t="s">
        <v>23</v>
      </c>
      <c r="D29" s="10" t="s">
        <v>35</v>
      </c>
      <c r="E29" s="11" t="s">
        <v>165</v>
      </c>
      <c r="F29" s="1" t="n">
        <v>368</v>
      </c>
      <c r="G29" s="13" t="s">
        <v>118</v>
      </c>
      <c r="H29" s="10" t="n">
        <f aca="false">SUM(I29,N29)/2</f>
        <v>0.745728428571429</v>
      </c>
      <c r="I29" s="10" t="n">
        <f aca="false">SUM(J29:M29)/4</f>
        <v>0.741016</v>
      </c>
      <c r="J29" s="1" t="n">
        <v>0.84756</v>
      </c>
      <c r="K29" s="1" t="n">
        <v>0.83607</v>
      </c>
      <c r="L29" s="1" t="n">
        <v>0.308125</v>
      </c>
      <c r="M29" s="1" t="n">
        <v>0.972309</v>
      </c>
      <c r="N29" s="10" t="n">
        <f aca="false">SUM(O29:U29)/7</f>
        <v>0.750440857142857</v>
      </c>
      <c r="O29" s="1" t="n">
        <v>0.759978</v>
      </c>
      <c r="P29" s="1" t="n">
        <v>0.602179</v>
      </c>
      <c r="Q29" s="1" t="n">
        <v>0.599763</v>
      </c>
      <c r="R29" s="1" t="n">
        <v>0.785576</v>
      </c>
      <c r="S29" s="1" t="n">
        <v>0.629799</v>
      </c>
      <c r="T29" s="1" t="n">
        <v>0.993399</v>
      </c>
      <c r="U29" s="1" t="n">
        <v>0.882392</v>
      </c>
    </row>
    <row r="30" customFormat="false" ht="14.25" hidden="false" customHeight="false" outlineLevel="0" collapsed="false">
      <c r="A30" s="1" t="s">
        <v>115</v>
      </c>
      <c r="B30" s="9" t="s">
        <v>166</v>
      </c>
      <c r="C30" s="10" t="s">
        <v>23</v>
      </c>
      <c r="D30" s="10" t="s">
        <v>24</v>
      </c>
      <c r="E30" s="11" t="s">
        <v>167</v>
      </c>
      <c r="F30" s="1" t="n">
        <v>286.93</v>
      </c>
      <c r="G30" s="13" t="s">
        <v>118</v>
      </c>
      <c r="H30" s="10" t="n">
        <f aca="false">SUM(I30,N30)/2</f>
        <v>0.745680196428571</v>
      </c>
      <c r="I30" s="10" t="n">
        <f aca="false">SUM(J30:M30)/4</f>
        <v>0.74512425</v>
      </c>
      <c r="J30" s="1" t="n">
        <v>0.838659</v>
      </c>
      <c r="K30" s="1" t="n">
        <v>0.862494</v>
      </c>
      <c r="L30" s="1" t="n">
        <v>0.30305</v>
      </c>
      <c r="M30" s="1" t="n">
        <v>0.976294</v>
      </c>
      <c r="N30" s="10" t="n">
        <f aca="false">SUM(O30:U30)/7</f>
        <v>0.746236142857143</v>
      </c>
      <c r="O30" s="1" t="n">
        <v>0.775445</v>
      </c>
      <c r="P30" s="1" t="n">
        <v>0.620115</v>
      </c>
      <c r="Q30" s="1" t="n">
        <v>0.606285</v>
      </c>
      <c r="R30" s="1" t="n">
        <v>0.714598</v>
      </c>
      <c r="S30" s="1" t="n">
        <v>0.645354</v>
      </c>
      <c r="T30" s="1" t="n">
        <v>0.996837</v>
      </c>
      <c r="U30" s="1" t="n">
        <v>0.865019</v>
      </c>
    </row>
    <row r="31" customFormat="false" ht="14.25" hidden="false" customHeight="false" outlineLevel="0" collapsed="false">
      <c r="A31" s="1" t="s">
        <v>115</v>
      </c>
      <c r="B31" s="9" t="s">
        <v>168</v>
      </c>
      <c r="C31" s="10" t="s">
        <v>23</v>
      </c>
      <c r="D31" s="10" t="s">
        <v>24</v>
      </c>
      <c r="E31" s="11" t="s">
        <v>169</v>
      </c>
      <c r="F31" s="1" t="n">
        <v>328.8</v>
      </c>
      <c r="G31" s="13" t="s">
        <v>118</v>
      </c>
      <c r="H31" s="10" t="n">
        <f aca="false">SUM(I31,N31)/2</f>
        <v>0.745666232142857</v>
      </c>
      <c r="I31" s="10" t="n">
        <f aca="false">SUM(J31:M31)/4</f>
        <v>0.74086275</v>
      </c>
      <c r="J31" s="1" t="n">
        <v>0.843543</v>
      </c>
      <c r="K31" s="1" t="n">
        <v>0.853745</v>
      </c>
      <c r="L31" s="1" t="n">
        <v>0.292897</v>
      </c>
      <c r="M31" s="1" t="n">
        <v>0.973266</v>
      </c>
      <c r="N31" s="10" t="n">
        <f aca="false">SUM(O31:U31)/7</f>
        <v>0.750469714285714</v>
      </c>
      <c r="O31" s="1" t="n">
        <v>0.777273</v>
      </c>
      <c r="P31" s="1" t="n">
        <v>0.633656</v>
      </c>
      <c r="Q31" s="1" t="n">
        <v>0.612246</v>
      </c>
      <c r="R31" s="1" t="n">
        <v>0.730813</v>
      </c>
      <c r="S31" s="1" t="n">
        <v>0.634743</v>
      </c>
      <c r="T31" s="1" t="n">
        <v>0.996512</v>
      </c>
      <c r="U31" s="1" t="n">
        <v>0.868045</v>
      </c>
    </row>
    <row r="32" customFormat="false" ht="14.25" hidden="false" customHeight="false" outlineLevel="0" collapsed="false">
      <c r="A32" s="1" t="s">
        <v>115</v>
      </c>
      <c r="B32" s="9" t="s">
        <v>159</v>
      </c>
      <c r="C32" s="10" t="s">
        <v>23</v>
      </c>
      <c r="D32" s="10" t="s">
        <v>35</v>
      </c>
      <c r="E32" s="11" t="s">
        <v>170</v>
      </c>
      <c r="F32" s="1" t="n">
        <v>401.23</v>
      </c>
      <c r="G32" s="13" t="s">
        <v>118</v>
      </c>
      <c r="H32" s="10" t="n">
        <f aca="false">SUM(I32,N32)/2</f>
        <v>0.745587964285714</v>
      </c>
      <c r="I32" s="10" t="n">
        <f aca="false">SUM(J32:M32)/4</f>
        <v>0.7370115</v>
      </c>
      <c r="J32" s="1" t="n">
        <v>0.845479</v>
      </c>
      <c r="K32" s="1" t="n">
        <v>0.839842</v>
      </c>
      <c r="L32" s="1" t="n">
        <v>0.294994</v>
      </c>
      <c r="M32" s="1" t="n">
        <v>0.967731</v>
      </c>
      <c r="N32" s="10" t="n">
        <f aca="false">SUM(O32:U32)/7</f>
        <v>0.754164428571429</v>
      </c>
      <c r="O32" s="1" t="n">
        <v>0.762746</v>
      </c>
      <c r="P32" s="1" t="n">
        <v>0.595009</v>
      </c>
      <c r="Q32" s="1" t="n">
        <v>0.595108</v>
      </c>
      <c r="R32" s="1" t="n">
        <v>0.828043</v>
      </c>
      <c r="S32" s="1" t="n">
        <v>0.636985</v>
      </c>
      <c r="T32" s="1" t="n">
        <v>0.994445</v>
      </c>
      <c r="U32" s="1" t="n">
        <v>0.866815</v>
      </c>
    </row>
    <row r="33" customFormat="false" ht="14.25" hidden="false" customHeight="false" outlineLevel="0" collapsed="false">
      <c r="A33" s="1" t="s">
        <v>115</v>
      </c>
      <c r="B33" s="9" t="s">
        <v>168</v>
      </c>
      <c r="C33" s="10" t="s">
        <v>23</v>
      </c>
      <c r="D33" s="10" t="s">
        <v>35</v>
      </c>
      <c r="E33" s="11" t="s">
        <v>171</v>
      </c>
      <c r="F33" s="1" t="n">
        <v>394.3</v>
      </c>
      <c r="G33" s="13" t="s">
        <v>118</v>
      </c>
      <c r="H33" s="10" t="n">
        <f aca="false">SUM(I33,N33)/2</f>
        <v>0.74505575</v>
      </c>
      <c r="I33" s="10" t="n">
        <f aca="false">SUM(J33:M33)/4</f>
        <v>0.7384255</v>
      </c>
      <c r="J33" s="1" t="n">
        <v>0.853415</v>
      </c>
      <c r="K33" s="1" t="n">
        <v>0.831145</v>
      </c>
      <c r="L33" s="1" t="n">
        <v>0.297027</v>
      </c>
      <c r="M33" s="1" t="n">
        <v>0.972115</v>
      </c>
      <c r="N33" s="10" t="n">
        <f aca="false">SUM(O33:U33)/7</f>
        <v>0.751686</v>
      </c>
      <c r="O33" s="1" t="n">
        <v>0.781393</v>
      </c>
      <c r="P33" s="1" t="n">
        <v>0.621259</v>
      </c>
      <c r="Q33" s="1" t="n">
        <v>0.601914</v>
      </c>
      <c r="R33" s="1" t="n">
        <v>0.754733</v>
      </c>
      <c r="S33" s="1" t="n">
        <v>0.642797</v>
      </c>
      <c r="T33" s="1" t="n">
        <v>0.99549</v>
      </c>
      <c r="U33" s="1" t="n">
        <v>0.864216</v>
      </c>
    </row>
    <row r="34" customFormat="false" ht="14.25" hidden="false" customHeight="false" outlineLevel="0" collapsed="false">
      <c r="A34" s="1" t="s">
        <v>115</v>
      </c>
      <c r="B34" s="9" t="s">
        <v>172</v>
      </c>
      <c r="C34" s="10" t="s">
        <v>23</v>
      </c>
      <c r="D34" s="10" t="s">
        <v>35</v>
      </c>
      <c r="E34" s="11" t="s">
        <v>173</v>
      </c>
      <c r="F34" s="1" t="n">
        <v>396.98</v>
      </c>
      <c r="G34" s="13" t="s">
        <v>118</v>
      </c>
      <c r="H34" s="10" t="n">
        <f aca="false">SUM(I34,N34)/2</f>
        <v>0.744775375</v>
      </c>
      <c r="I34" s="10" t="n">
        <f aca="false">SUM(J34:M34)/4</f>
        <v>0.72946875</v>
      </c>
      <c r="J34" s="1" t="n">
        <v>0.839368</v>
      </c>
      <c r="K34" s="1" t="n">
        <v>0.815955</v>
      </c>
      <c r="L34" s="1" t="n">
        <v>0.301397</v>
      </c>
      <c r="M34" s="1" t="n">
        <v>0.961155</v>
      </c>
      <c r="N34" s="10" t="n">
        <f aca="false">SUM(O34:U34)/7</f>
        <v>0.760082</v>
      </c>
      <c r="O34" s="1" t="n">
        <v>0.760334</v>
      </c>
      <c r="P34" s="1" t="n">
        <v>0.611189</v>
      </c>
      <c r="Q34" s="1" t="n">
        <v>0.609387</v>
      </c>
      <c r="R34" s="1" t="n">
        <v>0.822958</v>
      </c>
      <c r="S34" s="1" t="n">
        <v>0.641034</v>
      </c>
      <c r="T34" s="1" t="n">
        <v>0.995258</v>
      </c>
      <c r="U34" s="1" t="n">
        <v>0.880414</v>
      </c>
    </row>
    <row r="35" customFormat="false" ht="14.25" hidden="false" customHeight="false" outlineLevel="0" collapsed="false">
      <c r="A35" s="1" t="s">
        <v>115</v>
      </c>
      <c r="B35" s="9" t="s">
        <v>145</v>
      </c>
      <c r="C35" s="10" t="s">
        <v>23</v>
      </c>
      <c r="D35" s="10" t="s">
        <v>24</v>
      </c>
      <c r="E35" s="11" t="s">
        <v>174</v>
      </c>
      <c r="F35" s="1" t="n">
        <v>378.24</v>
      </c>
      <c r="G35" s="13" t="s">
        <v>118</v>
      </c>
      <c r="H35" s="10" t="n">
        <f aca="false">SUM(I35,N35)/2</f>
        <v>0.744749803571429</v>
      </c>
      <c r="I35" s="10" t="n">
        <f aca="false">SUM(J35:M35)/4</f>
        <v>0.73591775</v>
      </c>
      <c r="J35" s="1" t="n">
        <v>0.834321</v>
      </c>
      <c r="K35" s="1" t="n">
        <v>0.832924</v>
      </c>
      <c r="L35" s="1" t="n">
        <v>0.302122</v>
      </c>
      <c r="M35" s="1" t="n">
        <v>0.974304</v>
      </c>
      <c r="N35" s="10" t="n">
        <f aca="false">SUM(O35:U35)/7</f>
        <v>0.753581857142857</v>
      </c>
      <c r="O35" s="1" t="n">
        <v>0.771778</v>
      </c>
      <c r="P35" s="1" t="n">
        <v>0.609161</v>
      </c>
      <c r="Q35" s="1" t="n">
        <v>0.605533</v>
      </c>
      <c r="R35" s="1" t="n">
        <v>0.770895</v>
      </c>
      <c r="S35" s="1" t="n">
        <v>0.6576</v>
      </c>
      <c r="T35" s="1" t="n">
        <v>0.996192</v>
      </c>
      <c r="U35" s="1" t="n">
        <v>0.863914</v>
      </c>
    </row>
    <row r="36" customFormat="false" ht="14.25" hidden="false" customHeight="false" outlineLevel="0" collapsed="false">
      <c r="A36" s="1" t="s">
        <v>115</v>
      </c>
      <c r="B36" s="9" t="s">
        <v>175</v>
      </c>
      <c r="C36" s="10" t="s">
        <v>23</v>
      </c>
      <c r="D36" s="10" t="s">
        <v>24</v>
      </c>
      <c r="E36" s="11" t="s">
        <v>176</v>
      </c>
      <c r="F36" s="1" t="n">
        <v>342.82</v>
      </c>
      <c r="G36" s="13" t="s">
        <v>118</v>
      </c>
      <c r="H36" s="10" t="n">
        <f aca="false">SUM(I36,N36)/2</f>
        <v>0.744047375</v>
      </c>
      <c r="I36" s="10" t="n">
        <f aca="false">SUM(J36:M36)/4</f>
        <v>0.73601875</v>
      </c>
      <c r="J36" s="1" t="n">
        <v>0.832363</v>
      </c>
      <c r="K36" s="1" t="n">
        <v>0.840144</v>
      </c>
      <c r="L36" s="1" t="n">
        <v>0.292376</v>
      </c>
      <c r="M36" s="1" t="n">
        <v>0.979192</v>
      </c>
      <c r="N36" s="10" t="n">
        <f aca="false">SUM(O36:U36)/7</f>
        <v>0.752076</v>
      </c>
      <c r="O36" s="1" t="n">
        <v>0.770099</v>
      </c>
      <c r="P36" s="1" t="n">
        <v>0.609579</v>
      </c>
      <c r="Q36" s="1" t="n">
        <v>0.593969</v>
      </c>
      <c r="R36" s="1" t="n">
        <v>0.772397</v>
      </c>
      <c r="S36" s="1" t="n">
        <v>0.650189</v>
      </c>
      <c r="T36" s="1" t="n">
        <v>0.99581</v>
      </c>
      <c r="U36" s="1" t="n">
        <v>0.872489</v>
      </c>
    </row>
    <row r="37" customFormat="false" ht="14.25" hidden="false" customHeight="false" outlineLevel="0" collapsed="false">
      <c r="A37" s="1" t="s">
        <v>115</v>
      </c>
      <c r="B37" s="9" t="s">
        <v>150</v>
      </c>
      <c r="C37" s="10" t="s">
        <v>23</v>
      </c>
      <c r="D37" s="10" t="s">
        <v>24</v>
      </c>
      <c r="E37" s="11" t="s">
        <v>177</v>
      </c>
      <c r="F37" s="1" t="n">
        <v>339.28</v>
      </c>
      <c r="G37" s="13" t="s">
        <v>118</v>
      </c>
      <c r="H37" s="10" t="n">
        <f aca="false">SUM(I37,N37)/2</f>
        <v>0.743953142857143</v>
      </c>
      <c r="I37" s="10" t="n">
        <f aca="false">SUM(J37:M37)/4</f>
        <v>0.743817</v>
      </c>
      <c r="J37" s="1" t="n">
        <v>0.842991</v>
      </c>
      <c r="K37" s="1" t="n">
        <v>0.852184</v>
      </c>
      <c r="L37" s="1" t="n">
        <v>0.293496</v>
      </c>
      <c r="M37" s="1" t="n">
        <v>0.986597</v>
      </c>
      <c r="N37" s="10" t="n">
        <f aca="false">SUM(O37:U37)/7</f>
        <v>0.744089285714286</v>
      </c>
      <c r="O37" s="1" t="n">
        <v>0.774356</v>
      </c>
      <c r="P37" s="1" t="n">
        <v>0.615557</v>
      </c>
      <c r="Q37" s="1" t="n">
        <v>0.60501</v>
      </c>
      <c r="R37" s="1" t="n">
        <v>0.738618</v>
      </c>
      <c r="S37" s="1" t="n">
        <v>0.612264</v>
      </c>
      <c r="T37" s="1" t="n">
        <v>0.99629</v>
      </c>
      <c r="U37" s="1" t="n">
        <v>0.86653</v>
      </c>
    </row>
    <row r="38" customFormat="false" ht="14.25" hidden="false" customHeight="false" outlineLevel="0" collapsed="false">
      <c r="A38" s="1" t="s">
        <v>115</v>
      </c>
      <c r="B38" s="9" t="s">
        <v>147</v>
      </c>
      <c r="C38" s="10" t="s">
        <v>23</v>
      </c>
      <c r="D38" s="10" t="s">
        <v>24</v>
      </c>
      <c r="E38" s="11" t="s">
        <v>178</v>
      </c>
      <c r="F38" s="1" t="n">
        <v>276.58</v>
      </c>
      <c r="G38" s="13" t="s">
        <v>118</v>
      </c>
      <c r="H38" s="10" t="n">
        <f aca="false">SUM(I38,N38)/2</f>
        <v>0.743267660714286</v>
      </c>
      <c r="I38" s="10" t="n">
        <f aca="false">SUM(J38:M38)/4</f>
        <v>0.73684075</v>
      </c>
      <c r="J38" s="1" t="n">
        <v>0.837013</v>
      </c>
      <c r="K38" s="1" t="n">
        <v>0.839893</v>
      </c>
      <c r="L38" s="1" t="n">
        <v>0.306414</v>
      </c>
      <c r="M38" s="1" t="n">
        <v>0.964043</v>
      </c>
      <c r="N38" s="10" t="n">
        <f aca="false">SUM(O38:U38)/7</f>
        <v>0.749694571428571</v>
      </c>
      <c r="O38" s="1" t="n">
        <v>0.773294</v>
      </c>
      <c r="P38" s="1" t="n">
        <v>0.595796</v>
      </c>
      <c r="Q38" s="1" t="n">
        <v>0.600477</v>
      </c>
      <c r="R38" s="1" t="n">
        <v>0.742774</v>
      </c>
      <c r="S38" s="1" t="n">
        <v>0.657733</v>
      </c>
      <c r="T38" s="1" t="n">
        <v>0.995522</v>
      </c>
      <c r="U38" s="1" t="n">
        <v>0.882266</v>
      </c>
    </row>
    <row r="39" customFormat="false" ht="14.25" hidden="false" customHeight="false" outlineLevel="0" collapsed="false">
      <c r="A39" s="1" t="s">
        <v>115</v>
      </c>
      <c r="B39" s="9" t="s">
        <v>116</v>
      </c>
      <c r="C39" s="10" t="s">
        <v>23</v>
      </c>
      <c r="D39" s="10" t="s">
        <v>35</v>
      </c>
      <c r="E39" s="11" t="s">
        <v>179</v>
      </c>
      <c r="F39" s="1" t="n">
        <v>381.57</v>
      </c>
      <c r="G39" s="13" t="s">
        <v>118</v>
      </c>
      <c r="H39" s="10" t="n">
        <f aca="false">SUM(I39,N39)/2</f>
        <v>0.743039428571429</v>
      </c>
      <c r="I39" s="10" t="n">
        <f aca="false">SUM(J39:M39)/4</f>
        <v>0.738597</v>
      </c>
      <c r="J39" s="1" t="n">
        <v>0.846531</v>
      </c>
      <c r="K39" s="1" t="n">
        <v>0.829844</v>
      </c>
      <c r="L39" s="1" t="n">
        <v>0.304066</v>
      </c>
      <c r="M39" s="1" t="n">
        <v>0.973947</v>
      </c>
      <c r="N39" s="10" t="n">
        <f aca="false">SUM(O39:U39)/7</f>
        <v>0.747481857142857</v>
      </c>
      <c r="O39" s="1" t="n">
        <v>0.759844</v>
      </c>
      <c r="P39" s="1" t="n">
        <v>0.599923</v>
      </c>
      <c r="Q39" s="1" t="n">
        <v>0.602005</v>
      </c>
      <c r="R39" s="1" t="n">
        <v>0.762571</v>
      </c>
      <c r="S39" s="1" t="n">
        <v>0.64576</v>
      </c>
      <c r="T39" s="1" t="n">
        <v>0.994825</v>
      </c>
      <c r="U39" s="1" t="n">
        <v>0.867445</v>
      </c>
    </row>
    <row r="40" customFormat="false" ht="14.25" hidden="false" customHeight="false" outlineLevel="0" collapsed="false">
      <c r="A40" s="1" t="s">
        <v>115</v>
      </c>
      <c r="B40" s="9" t="s">
        <v>161</v>
      </c>
      <c r="C40" s="10" t="s">
        <v>23</v>
      </c>
      <c r="D40" s="10" t="s">
        <v>24</v>
      </c>
      <c r="E40" s="11" t="s">
        <v>180</v>
      </c>
      <c r="F40" s="1" t="n">
        <v>315.57</v>
      </c>
      <c r="G40" s="13" t="s">
        <v>118</v>
      </c>
      <c r="H40" s="10" t="n">
        <f aca="false">SUM(I40,N40)/2</f>
        <v>0.743005821428572</v>
      </c>
      <c r="I40" s="10" t="n">
        <f aca="false">SUM(J40:M40)/4</f>
        <v>0.7353365</v>
      </c>
      <c r="J40" s="1" t="n">
        <v>0.840792</v>
      </c>
      <c r="K40" s="1" t="n">
        <v>0.835506</v>
      </c>
      <c r="L40" s="1" t="n">
        <v>0.303815</v>
      </c>
      <c r="M40" s="1" t="n">
        <v>0.961233</v>
      </c>
      <c r="N40" s="10" t="n">
        <f aca="false">SUM(O40:U40)/7</f>
        <v>0.750675142857143</v>
      </c>
      <c r="O40" s="1" t="n">
        <v>0.770638</v>
      </c>
      <c r="P40" s="1" t="n">
        <v>0.59271</v>
      </c>
      <c r="Q40" s="1" t="n">
        <v>0.614266</v>
      </c>
      <c r="R40" s="1" t="n">
        <v>0.772223</v>
      </c>
      <c r="S40" s="1" t="n">
        <v>0.639645</v>
      </c>
      <c r="T40" s="1" t="n">
        <v>0.995806</v>
      </c>
      <c r="U40" s="1" t="n">
        <v>0.869438</v>
      </c>
    </row>
    <row r="41" customFormat="false" ht="14.25" hidden="false" customHeight="false" outlineLevel="0" collapsed="false">
      <c r="A41" s="1" t="s">
        <v>115</v>
      </c>
      <c r="B41" s="9" t="s">
        <v>181</v>
      </c>
      <c r="C41" s="10" t="s">
        <v>23</v>
      </c>
      <c r="D41" s="10" t="s">
        <v>24</v>
      </c>
      <c r="E41" s="11" t="s">
        <v>182</v>
      </c>
      <c r="F41" s="1" t="n">
        <v>291.47</v>
      </c>
      <c r="G41" s="13" t="s">
        <v>118</v>
      </c>
      <c r="H41" s="10" t="n">
        <f aca="false">SUM(I41,N41)/2</f>
        <v>0.742749696428571</v>
      </c>
      <c r="I41" s="10" t="n">
        <f aca="false">SUM(J41:M41)/4</f>
        <v>0.73204725</v>
      </c>
      <c r="J41" s="1" t="n">
        <v>0.839012</v>
      </c>
      <c r="K41" s="1" t="n">
        <v>0.829564</v>
      </c>
      <c r="L41" s="1" t="n">
        <v>0.307026</v>
      </c>
      <c r="M41" s="1" t="n">
        <v>0.952587</v>
      </c>
      <c r="N41" s="10" t="n">
        <f aca="false">SUM(O41:U41)/7</f>
        <v>0.753452142857143</v>
      </c>
      <c r="O41" s="1" t="n">
        <v>0.768418</v>
      </c>
      <c r="P41" s="1" t="n">
        <v>0.616955</v>
      </c>
      <c r="Q41" s="1" t="n">
        <v>0.613731</v>
      </c>
      <c r="R41" s="1" t="n">
        <v>0.762776</v>
      </c>
      <c r="S41" s="1" t="n">
        <v>0.637064</v>
      </c>
      <c r="T41" s="1" t="n">
        <v>0.99458</v>
      </c>
      <c r="U41" s="1" t="n">
        <v>0.880641</v>
      </c>
    </row>
    <row r="42" customFormat="false" ht="14.25" hidden="false" customHeight="false" outlineLevel="0" collapsed="false">
      <c r="A42" s="1" t="s">
        <v>115</v>
      </c>
      <c r="B42" s="9" t="s">
        <v>166</v>
      </c>
      <c r="C42" s="10" t="s">
        <v>23</v>
      </c>
      <c r="D42" s="10" t="s">
        <v>35</v>
      </c>
      <c r="E42" s="11" t="s">
        <v>183</v>
      </c>
      <c r="F42" s="1" t="n">
        <v>468.73</v>
      </c>
      <c r="G42" s="13" t="s">
        <v>118</v>
      </c>
      <c r="H42" s="10" t="n">
        <f aca="false">SUM(I42,N42)/2</f>
        <v>0.742604267857143</v>
      </c>
      <c r="I42" s="10" t="n">
        <f aca="false">SUM(J42:M42)/4</f>
        <v>0.74179525</v>
      </c>
      <c r="J42" s="1" t="n">
        <v>0.84814</v>
      </c>
      <c r="K42" s="1" t="n">
        <v>0.835675</v>
      </c>
      <c r="L42" s="1" t="n">
        <v>0.302712</v>
      </c>
      <c r="M42" s="1" t="n">
        <v>0.980654</v>
      </c>
      <c r="N42" s="10" t="n">
        <f aca="false">SUM(O42:U42)/7</f>
        <v>0.743413285714286</v>
      </c>
      <c r="O42" s="1" t="n">
        <v>0.777492</v>
      </c>
      <c r="P42" s="1" t="n">
        <v>0.619916</v>
      </c>
      <c r="Q42" s="1" t="n">
        <v>0.597046</v>
      </c>
      <c r="R42" s="1" t="n">
        <v>0.699372</v>
      </c>
      <c r="S42" s="1" t="n">
        <v>0.654117</v>
      </c>
      <c r="T42" s="1" t="n">
        <v>0.995599</v>
      </c>
      <c r="U42" s="1" t="n">
        <v>0.860351</v>
      </c>
    </row>
    <row r="43" customFormat="false" ht="14.25" hidden="false" customHeight="false" outlineLevel="0" collapsed="false">
      <c r="A43" s="1" t="s">
        <v>115</v>
      </c>
      <c r="B43" s="9" t="s">
        <v>123</v>
      </c>
      <c r="C43" s="10" t="s">
        <v>23</v>
      </c>
      <c r="D43" s="10" t="s">
        <v>35</v>
      </c>
      <c r="E43" s="11" t="s">
        <v>184</v>
      </c>
      <c r="F43" s="1" t="n">
        <v>406.74</v>
      </c>
      <c r="G43" s="13" t="s">
        <v>118</v>
      </c>
      <c r="H43" s="10" t="n">
        <f aca="false">SUM(I43,N43)/2</f>
        <v>0.742296803571429</v>
      </c>
      <c r="I43" s="10" t="n">
        <f aca="false">SUM(J43:M43)/4</f>
        <v>0.73160675</v>
      </c>
      <c r="J43" s="1" t="n">
        <v>0.850804</v>
      </c>
      <c r="K43" s="1" t="n">
        <v>0.801956</v>
      </c>
      <c r="L43" s="1" t="n">
        <v>0.298976</v>
      </c>
      <c r="M43" s="1" t="n">
        <v>0.974691</v>
      </c>
      <c r="N43" s="10" t="n">
        <f aca="false">SUM(O43:U43)/7</f>
        <v>0.752986857142857</v>
      </c>
      <c r="O43" s="1" t="n">
        <v>0.775293</v>
      </c>
      <c r="P43" s="1" t="n">
        <v>0.61494</v>
      </c>
      <c r="Q43" s="1" t="n">
        <v>0.601344</v>
      </c>
      <c r="R43" s="1" t="n">
        <v>0.761296</v>
      </c>
      <c r="S43" s="1" t="n">
        <v>0.637116</v>
      </c>
      <c r="T43" s="1" t="n">
        <v>0.995994</v>
      </c>
      <c r="U43" s="1" t="n">
        <v>0.884925</v>
      </c>
    </row>
    <row r="44" customFormat="false" ht="14.25" hidden="false" customHeight="false" outlineLevel="0" collapsed="false">
      <c r="A44" s="1" t="s">
        <v>115</v>
      </c>
      <c r="B44" s="9" t="s">
        <v>185</v>
      </c>
      <c r="C44" s="10" t="s">
        <v>23</v>
      </c>
      <c r="D44" s="10" t="s">
        <v>24</v>
      </c>
      <c r="E44" s="11" t="s">
        <v>186</v>
      </c>
      <c r="F44" s="1" t="n">
        <v>388.33</v>
      </c>
      <c r="G44" s="13" t="s">
        <v>118</v>
      </c>
      <c r="H44" s="10" t="n">
        <f aca="false">SUM(I44,N44)/2</f>
        <v>0.742043910714286</v>
      </c>
      <c r="I44" s="10" t="n">
        <f aca="false">SUM(J44:M44)/4</f>
        <v>0.73097825</v>
      </c>
      <c r="J44" s="1" t="n">
        <v>0.824207</v>
      </c>
      <c r="K44" s="1" t="n">
        <v>0.82645</v>
      </c>
      <c r="L44" s="1" t="n">
        <v>0.314395</v>
      </c>
      <c r="M44" s="1" t="n">
        <v>0.958861</v>
      </c>
      <c r="N44" s="10" t="n">
        <f aca="false">SUM(O44:U44)/7</f>
        <v>0.753109571428571</v>
      </c>
      <c r="O44" s="1" t="n">
        <v>0.763303</v>
      </c>
      <c r="P44" s="1" t="n">
        <v>0.604895</v>
      </c>
      <c r="Q44" s="1" t="n">
        <v>0.613339</v>
      </c>
      <c r="R44" s="1" t="n">
        <v>0.773246</v>
      </c>
      <c r="S44" s="1" t="n">
        <v>0.643045</v>
      </c>
      <c r="T44" s="1" t="n">
        <v>0.993406</v>
      </c>
      <c r="U44" s="1" t="n">
        <v>0.880533</v>
      </c>
    </row>
    <row r="45" customFormat="false" ht="14.25" hidden="false" customHeight="false" outlineLevel="0" collapsed="false">
      <c r="A45" s="1" t="s">
        <v>115</v>
      </c>
      <c r="B45" s="9" t="s">
        <v>187</v>
      </c>
      <c r="C45" s="10" t="s">
        <v>23</v>
      </c>
      <c r="D45" s="10" t="s">
        <v>24</v>
      </c>
      <c r="E45" s="11" t="s">
        <v>188</v>
      </c>
      <c r="F45" s="1" t="n">
        <v>336.52</v>
      </c>
      <c r="G45" s="13" t="s">
        <v>118</v>
      </c>
      <c r="H45" s="10" t="n">
        <f aca="false">SUM(I45,N45)/2</f>
        <v>0.741485035714286</v>
      </c>
      <c r="I45" s="10" t="n">
        <f aca="false">SUM(J45:M45)/4</f>
        <v>0.7347505</v>
      </c>
      <c r="J45" s="1" t="n">
        <v>0.840629</v>
      </c>
      <c r="K45" s="1" t="n">
        <v>0.83713</v>
      </c>
      <c r="L45" s="1" t="n">
        <v>0.292121</v>
      </c>
      <c r="M45" s="1" t="n">
        <v>0.969122</v>
      </c>
      <c r="N45" s="10" t="n">
        <f aca="false">SUM(O45:U45)/7</f>
        <v>0.748219571428571</v>
      </c>
      <c r="O45" s="1" t="n">
        <v>0.763865</v>
      </c>
      <c r="P45" s="1" t="n">
        <v>0.600338</v>
      </c>
      <c r="Q45" s="1" t="n">
        <v>0.613896</v>
      </c>
      <c r="R45" s="1" t="n">
        <v>0.753435</v>
      </c>
      <c r="S45" s="1" t="n">
        <v>0.643699</v>
      </c>
      <c r="T45" s="1" t="n">
        <v>0.996569</v>
      </c>
      <c r="U45" s="1" t="n">
        <v>0.865735</v>
      </c>
    </row>
    <row r="46" customFormat="false" ht="14.25" hidden="false" customHeight="false" outlineLevel="0" collapsed="false">
      <c r="A46" s="1" t="s">
        <v>115</v>
      </c>
      <c r="B46" s="9" t="s">
        <v>189</v>
      </c>
      <c r="C46" s="10" t="s">
        <v>23</v>
      </c>
      <c r="D46" s="10" t="s">
        <v>24</v>
      </c>
      <c r="E46" s="11" t="s">
        <v>190</v>
      </c>
      <c r="F46" s="1" t="n">
        <v>333.56</v>
      </c>
      <c r="G46" s="13" t="s">
        <v>118</v>
      </c>
      <c r="H46" s="10" t="n">
        <f aca="false">SUM(I46,N46)/2</f>
        <v>0.741232625</v>
      </c>
      <c r="I46" s="10" t="n">
        <f aca="false">SUM(J46:M46)/4</f>
        <v>0.74130925</v>
      </c>
      <c r="J46" s="1" t="n">
        <v>0.832426</v>
      </c>
      <c r="K46" s="1" t="n">
        <v>0.857848</v>
      </c>
      <c r="L46" s="1" t="n">
        <v>0.30677</v>
      </c>
      <c r="M46" s="1" t="n">
        <v>0.968193</v>
      </c>
      <c r="N46" s="10" t="n">
        <f aca="false">SUM(O46:U46)/7</f>
        <v>0.741156</v>
      </c>
      <c r="O46" s="1" t="n">
        <v>0.757628</v>
      </c>
      <c r="P46" s="1" t="n">
        <v>0.603152</v>
      </c>
      <c r="Q46" s="1" t="n">
        <v>0.60043</v>
      </c>
      <c r="R46" s="1" t="n">
        <v>0.719981</v>
      </c>
      <c r="S46" s="1" t="n">
        <v>0.633131</v>
      </c>
      <c r="T46" s="1" t="n">
        <v>0.996064</v>
      </c>
      <c r="U46" s="1" t="n">
        <v>0.877706</v>
      </c>
    </row>
    <row r="47" customFormat="false" ht="14.25" hidden="false" customHeight="false" outlineLevel="0" collapsed="false">
      <c r="A47" s="1" t="s">
        <v>115</v>
      </c>
      <c r="B47" s="9" t="s">
        <v>119</v>
      </c>
      <c r="C47" s="10" t="s">
        <v>23</v>
      </c>
      <c r="D47" s="10" t="s">
        <v>35</v>
      </c>
      <c r="E47" s="11" t="s">
        <v>191</v>
      </c>
      <c r="F47" s="1" t="n">
        <v>571.43</v>
      </c>
      <c r="G47" s="13" t="s">
        <v>118</v>
      </c>
      <c r="H47" s="10" t="n">
        <f aca="false">SUM(I47,N47)/2</f>
        <v>0.741221928571429</v>
      </c>
      <c r="I47" s="10" t="n">
        <f aca="false">SUM(J47:M47)/4</f>
        <v>0.738916</v>
      </c>
      <c r="J47" s="1" t="n">
        <v>0.848103</v>
      </c>
      <c r="K47" s="1" t="n">
        <v>0.842701</v>
      </c>
      <c r="L47" s="1" t="n">
        <v>0.303682</v>
      </c>
      <c r="M47" s="1" t="n">
        <v>0.961178</v>
      </c>
      <c r="N47" s="10" t="n">
        <f aca="false">SUM(O47:U47)/7</f>
        <v>0.743527857142857</v>
      </c>
      <c r="O47" s="1" t="n">
        <v>0.773692</v>
      </c>
      <c r="P47" s="1" t="n">
        <v>0.60715</v>
      </c>
      <c r="Q47" s="1" t="n">
        <v>0.60672</v>
      </c>
      <c r="R47" s="1" t="n">
        <v>0.716303</v>
      </c>
      <c r="S47" s="1" t="n">
        <v>0.642141</v>
      </c>
      <c r="T47" s="1" t="n">
        <v>0.995171</v>
      </c>
      <c r="U47" s="1" t="n">
        <v>0.863518</v>
      </c>
    </row>
    <row r="48" customFormat="false" ht="14.25" hidden="false" customHeight="false" outlineLevel="0" collapsed="false">
      <c r="A48" s="1" t="s">
        <v>115</v>
      </c>
      <c r="B48" s="9" t="s">
        <v>192</v>
      </c>
      <c r="C48" s="10" t="s">
        <v>23</v>
      </c>
      <c r="D48" s="10" t="s">
        <v>24</v>
      </c>
      <c r="E48" s="11" t="s">
        <v>193</v>
      </c>
      <c r="F48" s="1" t="n">
        <v>368.81</v>
      </c>
      <c r="G48" s="13" t="s">
        <v>118</v>
      </c>
      <c r="H48" s="10" t="n">
        <f aca="false">SUM(I48,N48)/2</f>
        <v>0.741067339285714</v>
      </c>
      <c r="I48" s="10" t="n">
        <f aca="false">SUM(J48:M48)/4</f>
        <v>0.73190025</v>
      </c>
      <c r="J48" s="1" t="n">
        <v>0.823055</v>
      </c>
      <c r="K48" s="1" t="n">
        <v>0.846659</v>
      </c>
      <c r="L48" s="1" t="n">
        <v>0.288374</v>
      </c>
      <c r="M48" s="1" t="n">
        <v>0.969513</v>
      </c>
      <c r="N48" s="10" t="n">
        <f aca="false">SUM(O48:U48)/7</f>
        <v>0.750234428571429</v>
      </c>
      <c r="O48" s="1" t="n">
        <v>0.766532</v>
      </c>
      <c r="P48" s="1" t="n">
        <v>0.626641</v>
      </c>
      <c r="Q48" s="1" t="n">
        <v>0.615235</v>
      </c>
      <c r="R48" s="1" t="n">
        <v>0.730172</v>
      </c>
      <c r="S48" s="1" t="n">
        <v>0.631232</v>
      </c>
      <c r="T48" s="1" t="n">
        <v>0.996336</v>
      </c>
      <c r="U48" s="1" t="n">
        <v>0.885493</v>
      </c>
    </row>
    <row r="49" customFormat="false" ht="14.25" hidden="false" customHeight="false" outlineLevel="0" collapsed="false">
      <c r="A49" s="1" t="s">
        <v>115</v>
      </c>
      <c r="B49" s="9" t="s">
        <v>121</v>
      </c>
      <c r="C49" s="10" t="s">
        <v>23</v>
      </c>
      <c r="D49" s="10" t="s">
        <v>35</v>
      </c>
      <c r="E49" s="11" t="s">
        <v>194</v>
      </c>
      <c r="F49" s="1" t="n">
        <v>382.41</v>
      </c>
      <c r="G49" s="13" t="s">
        <v>118</v>
      </c>
      <c r="H49" s="10" t="n">
        <f aca="false">SUM(I49,N49)/2</f>
        <v>0.741063982142857</v>
      </c>
      <c r="I49" s="10" t="n">
        <f aca="false">SUM(J49:M49)/4</f>
        <v>0.73677225</v>
      </c>
      <c r="J49" s="1" t="n">
        <v>0.847608</v>
      </c>
      <c r="K49" s="1" t="n">
        <v>0.84203</v>
      </c>
      <c r="L49" s="1" t="n">
        <v>0.283947</v>
      </c>
      <c r="M49" s="1" t="n">
        <v>0.973504</v>
      </c>
      <c r="N49" s="10" t="n">
        <f aca="false">SUM(O49:U49)/7</f>
        <v>0.745355714285714</v>
      </c>
      <c r="O49" s="1" t="n">
        <v>0.769025</v>
      </c>
      <c r="P49" s="1" t="n">
        <v>0.619837</v>
      </c>
      <c r="Q49" s="1" t="n">
        <v>0.617002</v>
      </c>
      <c r="R49" s="1" t="n">
        <v>0.698207</v>
      </c>
      <c r="S49" s="1" t="n">
        <v>0.640198</v>
      </c>
      <c r="T49" s="1" t="n">
        <v>0.996401</v>
      </c>
      <c r="U49" s="1" t="n">
        <v>0.87682</v>
      </c>
    </row>
    <row r="50" customFormat="false" ht="14.25" hidden="false" customHeight="false" outlineLevel="0" collapsed="false">
      <c r="A50" s="1" t="s">
        <v>115</v>
      </c>
      <c r="B50" s="9" t="s">
        <v>195</v>
      </c>
      <c r="C50" s="10" t="s">
        <v>23</v>
      </c>
      <c r="D50" s="10" t="s">
        <v>24</v>
      </c>
      <c r="E50" s="11" t="s">
        <v>196</v>
      </c>
      <c r="F50" s="1" t="n">
        <v>290.25</v>
      </c>
      <c r="G50" s="13" t="s">
        <v>118</v>
      </c>
      <c r="H50" s="10" t="n">
        <f aca="false">SUM(I50,N50)/2</f>
        <v>0.740657821428572</v>
      </c>
      <c r="I50" s="10" t="n">
        <f aca="false">SUM(J50:M50)/4</f>
        <v>0.7349845</v>
      </c>
      <c r="J50" s="1" t="n">
        <v>0.847307</v>
      </c>
      <c r="K50" s="1" t="n">
        <v>0.82708</v>
      </c>
      <c r="L50" s="1" t="n">
        <v>0.292601</v>
      </c>
      <c r="M50" s="1" t="n">
        <v>0.97295</v>
      </c>
      <c r="N50" s="10" t="n">
        <f aca="false">SUM(O50:U50)/7</f>
        <v>0.746331142857143</v>
      </c>
      <c r="O50" s="1" t="n">
        <v>0.768678</v>
      </c>
      <c r="P50" s="1" t="n">
        <v>0.602719</v>
      </c>
      <c r="Q50" s="1" t="n">
        <v>0.596391</v>
      </c>
      <c r="R50" s="1" t="n">
        <v>0.752615</v>
      </c>
      <c r="S50" s="1" t="n">
        <v>0.645227</v>
      </c>
      <c r="T50" s="1" t="n">
        <v>0.996756</v>
      </c>
      <c r="U50" s="1" t="n">
        <v>0.861932</v>
      </c>
    </row>
    <row r="51" customFormat="false" ht="14.25" hidden="false" customHeight="false" outlineLevel="0" collapsed="false">
      <c r="A51" s="1" t="s">
        <v>115</v>
      </c>
      <c r="B51" s="9" t="s">
        <v>197</v>
      </c>
      <c r="C51" s="10" t="s">
        <v>23</v>
      </c>
      <c r="D51" s="10" t="s">
        <v>24</v>
      </c>
      <c r="E51" s="11" t="s">
        <v>198</v>
      </c>
      <c r="F51" s="1" t="n">
        <v>322.25</v>
      </c>
      <c r="G51" s="13" t="s">
        <v>118</v>
      </c>
      <c r="H51" s="10" t="n">
        <f aca="false">SUM(I51,N51)/2</f>
        <v>0.7404435</v>
      </c>
      <c r="I51" s="10" t="n">
        <f aca="false">SUM(J51:M51)/4</f>
        <v>0.726874</v>
      </c>
      <c r="J51" s="1" t="n">
        <v>0.814524</v>
      </c>
      <c r="K51" s="1" t="n">
        <v>0.836846</v>
      </c>
      <c r="L51" s="1" t="n">
        <v>0.30479</v>
      </c>
      <c r="M51" s="1" t="n">
        <v>0.951336</v>
      </c>
      <c r="N51" s="10" t="n">
        <f aca="false">SUM(O51:U51)/7</f>
        <v>0.754013</v>
      </c>
      <c r="O51" s="1" t="n">
        <v>0.759871</v>
      </c>
      <c r="P51" s="1" t="n">
        <v>0.603597</v>
      </c>
      <c r="Q51" s="1" t="n">
        <v>0.620665</v>
      </c>
      <c r="R51" s="1" t="n">
        <v>0.769255</v>
      </c>
      <c r="S51" s="1" t="n">
        <v>0.645035</v>
      </c>
      <c r="T51" s="1" t="n">
        <v>0.996793</v>
      </c>
      <c r="U51" s="1" t="n">
        <v>0.882875</v>
      </c>
    </row>
    <row r="52" customFormat="false" ht="14.25" hidden="false" customHeight="false" outlineLevel="0" collapsed="false">
      <c r="A52" s="1" t="s">
        <v>115</v>
      </c>
      <c r="B52" s="9" t="s">
        <v>199</v>
      </c>
      <c r="C52" s="10" t="s">
        <v>23</v>
      </c>
      <c r="D52" s="10" t="s">
        <v>24</v>
      </c>
      <c r="E52" s="11" t="s">
        <v>200</v>
      </c>
      <c r="F52" s="1" t="n">
        <v>319.02</v>
      </c>
      <c r="G52" s="13" t="s">
        <v>118</v>
      </c>
      <c r="H52" s="10" t="n">
        <f aca="false">SUM(I52,N52)/2</f>
        <v>0.740380285714286</v>
      </c>
      <c r="I52" s="10" t="n">
        <f aca="false">SUM(J52:M52)/4</f>
        <v>0.731105</v>
      </c>
      <c r="J52" s="1" t="n">
        <v>0.822012</v>
      </c>
      <c r="K52" s="1" t="n">
        <v>0.837727</v>
      </c>
      <c r="L52" s="1" t="n">
        <v>0.297486</v>
      </c>
      <c r="M52" s="1" t="n">
        <v>0.967195</v>
      </c>
      <c r="N52" s="10" t="n">
        <f aca="false">SUM(O52:U52)/7</f>
        <v>0.749655571428571</v>
      </c>
      <c r="O52" s="1" t="n">
        <v>0.75103</v>
      </c>
      <c r="P52" s="1" t="n">
        <v>0.585903</v>
      </c>
      <c r="Q52" s="1" t="n">
        <v>0.615262</v>
      </c>
      <c r="R52" s="1" t="n">
        <v>0.767844</v>
      </c>
      <c r="S52" s="1" t="n">
        <v>0.647407</v>
      </c>
      <c r="T52" s="1" t="n">
        <v>0.996634</v>
      </c>
      <c r="U52" s="1" t="n">
        <v>0.883509</v>
      </c>
    </row>
    <row r="53" customFormat="false" ht="14.25" hidden="false" customHeight="false" outlineLevel="0" collapsed="false">
      <c r="A53" s="1" t="s">
        <v>115</v>
      </c>
      <c r="B53" s="9" t="s">
        <v>129</v>
      </c>
      <c r="C53" s="10" t="s">
        <v>23</v>
      </c>
      <c r="D53" s="10" t="s">
        <v>24</v>
      </c>
      <c r="E53" s="11" t="s">
        <v>201</v>
      </c>
      <c r="F53" s="1" t="n">
        <v>356.01</v>
      </c>
      <c r="G53" s="13" t="s">
        <v>118</v>
      </c>
      <c r="H53" s="10" t="n">
        <f aca="false">SUM(I53,N53)/2</f>
        <v>0.739660446428571</v>
      </c>
      <c r="I53" s="10" t="n">
        <f aca="false">SUM(J53:M53)/4</f>
        <v>0.74486675</v>
      </c>
      <c r="J53" s="1" t="n">
        <v>0.854181</v>
      </c>
      <c r="K53" s="1" t="n">
        <v>0.864747</v>
      </c>
      <c r="L53" s="1" t="n">
        <v>0.296134</v>
      </c>
      <c r="M53" s="1" t="n">
        <v>0.964405</v>
      </c>
      <c r="N53" s="10" t="n">
        <f aca="false">SUM(O53:U53)/7</f>
        <v>0.734454142857143</v>
      </c>
      <c r="O53" s="1" t="n">
        <v>0.752266</v>
      </c>
      <c r="P53" s="1" t="n">
        <v>0.593992</v>
      </c>
      <c r="Q53" s="1" t="n">
        <v>0.604748</v>
      </c>
      <c r="R53" s="1" t="n">
        <v>0.69314</v>
      </c>
      <c r="S53" s="1" t="n">
        <v>0.637976</v>
      </c>
      <c r="T53" s="1" t="n">
        <v>0.995778</v>
      </c>
      <c r="U53" s="1" t="n">
        <v>0.863279</v>
      </c>
    </row>
    <row r="54" customFormat="false" ht="14.25" hidden="false" customHeight="false" outlineLevel="0" collapsed="false">
      <c r="A54" s="1" t="s">
        <v>115</v>
      </c>
      <c r="B54" s="9" t="s">
        <v>172</v>
      </c>
      <c r="C54" s="10" t="s">
        <v>23</v>
      </c>
      <c r="D54" s="10" t="s">
        <v>24</v>
      </c>
      <c r="E54" s="11" t="s">
        <v>202</v>
      </c>
      <c r="F54" s="1" t="n">
        <v>420.49</v>
      </c>
      <c r="G54" s="13" t="s">
        <v>118</v>
      </c>
      <c r="H54" s="10" t="n">
        <f aca="false">SUM(I54,N54)/2</f>
        <v>0.738571875</v>
      </c>
      <c r="I54" s="10" t="n">
        <f aca="false">SUM(J54:M54)/4</f>
        <v>0.72683975</v>
      </c>
      <c r="J54" s="1" t="n">
        <v>0.832535</v>
      </c>
      <c r="K54" s="1" t="n">
        <v>0.813526</v>
      </c>
      <c r="L54" s="1" t="n">
        <v>0.298687</v>
      </c>
      <c r="M54" s="1" t="n">
        <v>0.962611</v>
      </c>
      <c r="N54" s="10" t="n">
        <f aca="false">SUM(O54:U54)/7</f>
        <v>0.750304</v>
      </c>
      <c r="O54" s="1" t="n">
        <v>0.750388</v>
      </c>
      <c r="P54" s="1" t="n">
        <v>0.600062</v>
      </c>
      <c r="Q54" s="1" t="n">
        <v>0.589282</v>
      </c>
      <c r="R54" s="1" t="n">
        <v>0.812157</v>
      </c>
      <c r="S54" s="1" t="n">
        <v>0.636841</v>
      </c>
      <c r="T54" s="1" t="n">
        <v>0.994063</v>
      </c>
      <c r="U54" s="1" t="n">
        <v>0.869335</v>
      </c>
    </row>
    <row r="55" customFormat="false" ht="14.25" hidden="false" customHeight="false" outlineLevel="0" collapsed="false">
      <c r="A55" s="1" t="s">
        <v>115</v>
      </c>
      <c r="B55" s="9" t="s">
        <v>189</v>
      </c>
      <c r="C55" s="10" t="s">
        <v>23</v>
      </c>
      <c r="D55" s="10" t="s">
        <v>35</v>
      </c>
      <c r="E55" s="11" t="s">
        <v>203</v>
      </c>
      <c r="F55" s="1" t="n">
        <v>559.61</v>
      </c>
      <c r="G55" s="13" t="s">
        <v>118</v>
      </c>
      <c r="H55" s="10" t="n">
        <f aca="false">SUM(I55,N55)/2</f>
        <v>0.738464160714286</v>
      </c>
      <c r="I55" s="10" t="n">
        <f aca="false">SUM(J55:M55)/4</f>
        <v>0.73590075</v>
      </c>
      <c r="J55" s="1" t="n">
        <v>0.825786</v>
      </c>
      <c r="K55" s="1" t="n">
        <v>0.836409</v>
      </c>
      <c r="L55" s="1" t="n">
        <v>0.307807</v>
      </c>
      <c r="M55" s="1" t="n">
        <v>0.973601</v>
      </c>
      <c r="N55" s="10" t="n">
        <f aca="false">SUM(O55:U55)/7</f>
        <v>0.741027571428571</v>
      </c>
      <c r="O55" s="1" t="n">
        <v>0.74815</v>
      </c>
      <c r="P55" s="1" t="n">
        <v>0.595632</v>
      </c>
      <c r="Q55" s="1" t="n">
        <v>0.589659</v>
      </c>
      <c r="R55" s="1" t="n">
        <v>0.73405</v>
      </c>
      <c r="S55" s="1" t="n">
        <v>0.645368</v>
      </c>
      <c r="T55" s="1" t="n">
        <v>0.993559</v>
      </c>
      <c r="U55" s="1" t="n">
        <v>0.880775</v>
      </c>
    </row>
    <row r="56" customFormat="false" ht="14.25" hidden="false" customHeight="false" outlineLevel="0" collapsed="false">
      <c r="A56" s="1" t="s">
        <v>115</v>
      </c>
      <c r="B56" s="9" t="s">
        <v>204</v>
      </c>
      <c r="C56" s="10" t="s">
        <v>23</v>
      </c>
      <c r="D56" s="10" t="s">
        <v>24</v>
      </c>
      <c r="E56" s="11" t="s">
        <v>205</v>
      </c>
      <c r="F56" s="1" t="n">
        <v>401.63</v>
      </c>
      <c r="G56" s="13" t="s">
        <v>118</v>
      </c>
      <c r="H56" s="10" t="n">
        <f aca="false">SUM(I56,N56)/2</f>
        <v>0.738072017857143</v>
      </c>
      <c r="I56" s="10" t="n">
        <f aca="false">SUM(J56:M56)/4</f>
        <v>0.73674875</v>
      </c>
      <c r="J56" s="1" t="n">
        <v>0.835541</v>
      </c>
      <c r="K56" s="1" t="n">
        <v>0.85465</v>
      </c>
      <c r="L56" s="1" t="n">
        <v>0.294084</v>
      </c>
      <c r="M56" s="1" t="n">
        <v>0.96272</v>
      </c>
      <c r="N56" s="10" t="n">
        <f aca="false">SUM(O56:U56)/7</f>
        <v>0.739395285714286</v>
      </c>
      <c r="O56" s="1" t="n">
        <v>0.764199</v>
      </c>
      <c r="P56" s="1" t="n">
        <v>0.608263</v>
      </c>
      <c r="Q56" s="1" t="n">
        <v>0.616347</v>
      </c>
      <c r="R56" s="1" t="n">
        <v>0.701462</v>
      </c>
      <c r="S56" s="1" t="n">
        <v>0.634221</v>
      </c>
      <c r="T56" s="1" t="n">
        <v>0.99638</v>
      </c>
      <c r="U56" s="1" t="n">
        <v>0.854895</v>
      </c>
    </row>
    <row r="57" customFormat="false" ht="14.25" hidden="false" customHeight="false" outlineLevel="0" collapsed="false">
      <c r="A57" s="1" t="s">
        <v>115</v>
      </c>
      <c r="B57" s="9" t="s">
        <v>163</v>
      </c>
      <c r="C57" s="10" t="s">
        <v>23</v>
      </c>
      <c r="D57" s="10" t="s">
        <v>35</v>
      </c>
      <c r="E57" s="11" t="s">
        <v>206</v>
      </c>
      <c r="F57" s="1" t="n">
        <v>445.13</v>
      </c>
      <c r="G57" s="13" t="s">
        <v>118</v>
      </c>
      <c r="H57" s="10" t="n">
        <f aca="false">SUM(I57,N57)/2</f>
        <v>0.737882964285714</v>
      </c>
      <c r="I57" s="10" t="n">
        <f aca="false">SUM(J57:M57)/4</f>
        <v>0.7306235</v>
      </c>
      <c r="J57" s="1" t="n">
        <v>0.83932</v>
      </c>
      <c r="K57" s="1" t="n">
        <v>0.821147</v>
      </c>
      <c r="L57" s="1" t="n">
        <v>0.290848</v>
      </c>
      <c r="M57" s="1" t="n">
        <v>0.971179</v>
      </c>
      <c r="N57" s="10" t="n">
        <f aca="false">SUM(O57:U57)/7</f>
        <v>0.745142428571429</v>
      </c>
      <c r="O57" s="1" t="n">
        <v>0.761811</v>
      </c>
      <c r="P57" s="1" t="n">
        <v>0.609339</v>
      </c>
      <c r="Q57" s="1" t="n">
        <v>0.599017</v>
      </c>
      <c r="R57" s="1" t="n">
        <v>0.753026</v>
      </c>
      <c r="S57" s="1" t="n">
        <v>0.63199</v>
      </c>
      <c r="T57" s="1" t="n">
        <v>0.996312</v>
      </c>
      <c r="U57" s="1" t="n">
        <v>0.864502</v>
      </c>
    </row>
    <row r="58" customFormat="false" ht="14.25" hidden="false" customHeight="false" outlineLevel="0" collapsed="false">
      <c r="A58" s="1" t="s">
        <v>115</v>
      </c>
      <c r="B58" s="9" t="s">
        <v>207</v>
      </c>
      <c r="C58" s="10" t="s">
        <v>23</v>
      </c>
      <c r="D58" s="10" t="s">
        <v>35</v>
      </c>
      <c r="E58" s="11" t="s">
        <v>208</v>
      </c>
      <c r="F58" s="1" t="n">
        <v>396.18</v>
      </c>
      <c r="G58" s="13" t="s">
        <v>118</v>
      </c>
      <c r="H58" s="10" t="n">
        <f aca="false">SUM(I58,N58)/2</f>
        <v>0.737845964285714</v>
      </c>
      <c r="I58" s="10" t="n">
        <f aca="false">SUM(J58:M58)/4</f>
        <v>0.7279665</v>
      </c>
      <c r="J58" s="1" t="n">
        <v>0.829269</v>
      </c>
      <c r="K58" s="1" t="n">
        <v>0.817095</v>
      </c>
      <c r="L58" s="1" t="n">
        <v>0.298407</v>
      </c>
      <c r="M58" s="1" t="n">
        <v>0.967095</v>
      </c>
      <c r="N58" s="10" t="n">
        <f aca="false">SUM(O58:U58)/7</f>
        <v>0.747725428571429</v>
      </c>
      <c r="O58" s="1" t="n">
        <v>0.743801</v>
      </c>
      <c r="P58" s="1" t="n">
        <v>0.592473</v>
      </c>
      <c r="Q58" s="1" t="n">
        <v>0.60039</v>
      </c>
      <c r="R58" s="1" t="n">
        <v>0.794244</v>
      </c>
      <c r="S58" s="1" t="n">
        <v>0.634443</v>
      </c>
      <c r="T58" s="1" t="n">
        <v>0.995948</v>
      </c>
      <c r="U58" s="1" t="n">
        <v>0.872779</v>
      </c>
    </row>
    <row r="59" customFormat="false" ht="14.25" hidden="false" customHeight="false" outlineLevel="0" collapsed="false">
      <c r="A59" s="1" t="s">
        <v>115</v>
      </c>
      <c r="B59" s="9" t="s">
        <v>133</v>
      </c>
      <c r="C59" s="10" t="s">
        <v>23</v>
      </c>
      <c r="D59" s="10" t="s">
        <v>35</v>
      </c>
      <c r="E59" s="11" t="s">
        <v>209</v>
      </c>
      <c r="F59" s="1" t="n">
        <v>414.56</v>
      </c>
      <c r="G59" s="13" t="s">
        <v>118</v>
      </c>
      <c r="H59" s="10" t="n">
        <f aca="false">SUM(I59,N59)/2</f>
        <v>0.737720660714286</v>
      </c>
      <c r="I59" s="10" t="n">
        <f aca="false">SUM(J59:M59)/4</f>
        <v>0.73175575</v>
      </c>
      <c r="J59" s="1" t="n">
        <v>0.840364</v>
      </c>
      <c r="K59" s="1" t="n">
        <v>0.823038</v>
      </c>
      <c r="L59" s="1" t="n">
        <v>0.290165</v>
      </c>
      <c r="M59" s="1" t="n">
        <v>0.973456</v>
      </c>
      <c r="N59" s="10" t="n">
        <f aca="false">SUM(O59:U59)/7</f>
        <v>0.743685571428571</v>
      </c>
      <c r="O59" s="1" t="n">
        <v>0.758149</v>
      </c>
      <c r="P59" s="1" t="n">
        <v>0.599711</v>
      </c>
      <c r="Q59" s="1" t="n">
        <v>0.578774</v>
      </c>
      <c r="R59" s="1" t="n">
        <v>0.761139</v>
      </c>
      <c r="S59" s="1" t="n">
        <v>0.634423</v>
      </c>
      <c r="T59" s="1" t="n">
        <v>0.994205</v>
      </c>
      <c r="U59" s="1" t="n">
        <v>0.879398</v>
      </c>
    </row>
    <row r="60" customFormat="false" ht="14.25" hidden="false" customHeight="false" outlineLevel="0" collapsed="false">
      <c r="A60" s="1" t="s">
        <v>115</v>
      </c>
      <c r="B60" s="9" t="s">
        <v>210</v>
      </c>
      <c r="C60" s="10" t="s">
        <v>23</v>
      </c>
      <c r="D60" s="10" t="s">
        <v>35</v>
      </c>
      <c r="E60" s="11" t="s">
        <v>211</v>
      </c>
      <c r="F60" s="1" t="n">
        <v>400.3</v>
      </c>
      <c r="G60" s="13" t="s">
        <v>118</v>
      </c>
      <c r="H60" s="10" t="n">
        <f aca="false">SUM(I60,N60)/2</f>
        <v>0.737389</v>
      </c>
      <c r="I60" s="10" t="n">
        <f aca="false">SUM(J60:M60)/4</f>
        <v>0.735512</v>
      </c>
      <c r="J60" s="1" t="n">
        <v>0.840674</v>
      </c>
      <c r="K60" s="1" t="n">
        <v>0.823232</v>
      </c>
      <c r="L60" s="1" t="n">
        <v>0.319734</v>
      </c>
      <c r="M60" s="1" t="n">
        <v>0.958408</v>
      </c>
      <c r="N60" s="10" t="n">
        <f aca="false">SUM(O60:U60)/7</f>
        <v>0.739266</v>
      </c>
      <c r="O60" s="1" t="n">
        <v>0.728061</v>
      </c>
      <c r="P60" s="1" t="n">
        <v>0.574011</v>
      </c>
      <c r="Q60" s="1" t="n">
        <v>0.591563</v>
      </c>
      <c r="R60" s="1" t="n">
        <v>0.76701</v>
      </c>
      <c r="S60" s="1" t="n">
        <v>0.645715</v>
      </c>
      <c r="T60" s="1" t="n">
        <v>0.987935</v>
      </c>
      <c r="U60" s="1" t="n">
        <v>0.880567</v>
      </c>
    </row>
    <row r="61" customFormat="false" ht="14.25" hidden="false" customHeight="false" outlineLevel="0" collapsed="false">
      <c r="A61" s="1" t="s">
        <v>115</v>
      </c>
      <c r="B61" s="9" t="s">
        <v>212</v>
      </c>
      <c r="C61" s="10" t="s">
        <v>23</v>
      </c>
      <c r="D61" s="10" t="s">
        <v>24</v>
      </c>
      <c r="E61" s="11" t="s">
        <v>213</v>
      </c>
      <c r="F61" s="1" t="n">
        <v>311.48</v>
      </c>
      <c r="G61" s="13" t="s">
        <v>118</v>
      </c>
      <c r="H61" s="10" t="n">
        <f aca="false">SUM(I61,N61)/2</f>
        <v>0.736772571428571</v>
      </c>
      <c r="I61" s="10" t="n">
        <f aca="false">SUM(J61:M61)/4</f>
        <v>0.736346</v>
      </c>
      <c r="J61" s="1" t="n">
        <v>0.820887</v>
      </c>
      <c r="K61" s="1" t="n">
        <v>0.844619</v>
      </c>
      <c r="L61" s="1" t="n">
        <v>0.320862</v>
      </c>
      <c r="M61" s="1" t="n">
        <v>0.959016</v>
      </c>
      <c r="N61" s="10" t="n">
        <f aca="false">SUM(O61:U61)/7</f>
        <v>0.737199142857143</v>
      </c>
      <c r="O61" s="1" t="n">
        <v>0.737429</v>
      </c>
      <c r="P61" s="1" t="n">
        <v>0.567534</v>
      </c>
      <c r="Q61" s="1" t="n">
        <v>0.593881</v>
      </c>
      <c r="R61" s="1" t="n">
        <v>0.757951</v>
      </c>
      <c r="S61" s="1" t="n">
        <v>0.640972</v>
      </c>
      <c r="T61" s="1" t="n">
        <v>0.98755</v>
      </c>
      <c r="U61" s="1" t="n">
        <v>0.875077</v>
      </c>
    </row>
    <row r="62" customFormat="false" ht="14.25" hidden="false" customHeight="false" outlineLevel="0" collapsed="false">
      <c r="A62" s="1" t="s">
        <v>115</v>
      </c>
      <c r="B62" s="9" t="s">
        <v>204</v>
      </c>
      <c r="C62" s="10" t="s">
        <v>23</v>
      </c>
      <c r="D62" s="10" t="s">
        <v>35</v>
      </c>
      <c r="E62" s="11" t="s">
        <v>214</v>
      </c>
      <c r="F62" s="1" t="n">
        <v>492.17</v>
      </c>
      <c r="G62" s="13" t="s">
        <v>118</v>
      </c>
      <c r="H62" s="10" t="n">
        <f aca="false">SUM(I62,N62)/2</f>
        <v>0.735332767857143</v>
      </c>
      <c r="I62" s="10" t="n">
        <f aca="false">SUM(J62:M62)/4</f>
        <v>0.73804425</v>
      </c>
      <c r="J62" s="1" t="n">
        <v>0.848639</v>
      </c>
      <c r="K62" s="1" t="n">
        <v>0.858718</v>
      </c>
      <c r="L62" s="1" t="n">
        <v>0.29756</v>
      </c>
      <c r="M62" s="1" t="n">
        <v>0.94726</v>
      </c>
      <c r="N62" s="10" t="n">
        <f aca="false">SUM(O62:U62)/7</f>
        <v>0.732621285714286</v>
      </c>
      <c r="O62" s="1" t="n">
        <v>0.760705</v>
      </c>
      <c r="P62" s="1" t="n">
        <v>0.591062</v>
      </c>
      <c r="Q62" s="1" t="n">
        <v>0.604561</v>
      </c>
      <c r="R62" s="1" t="n">
        <v>0.664663</v>
      </c>
      <c r="S62" s="1" t="n">
        <v>0.635175</v>
      </c>
      <c r="T62" s="1" t="n">
        <v>0.99493</v>
      </c>
      <c r="U62" s="1" t="n">
        <v>0.877253</v>
      </c>
    </row>
    <row r="63" customFormat="false" ht="14.25" hidden="false" customHeight="false" outlineLevel="0" collapsed="false">
      <c r="A63" s="1" t="s">
        <v>115</v>
      </c>
      <c r="B63" s="9" t="s">
        <v>192</v>
      </c>
      <c r="C63" s="10" t="s">
        <v>23</v>
      </c>
      <c r="D63" s="10" t="s">
        <v>35</v>
      </c>
      <c r="E63" s="11" t="s">
        <v>215</v>
      </c>
      <c r="F63" s="1" t="n">
        <v>396.48</v>
      </c>
      <c r="G63" s="13" t="s">
        <v>118</v>
      </c>
      <c r="H63" s="10" t="n">
        <f aca="false">SUM(I63,N63)/2</f>
        <v>0.735204214285714</v>
      </c>
      <c r="I63" s="10" t="n">
        <f aca="false">SUM(J63:M63)/4</f>
        <v>0.733094</v>
      </c>
      <c r="J63" s="1" t="n">
        <v>0.838426</v>
      </c>
      <c r="K63" s="1" t="n">
        <v>0.837481</v>
      </c>
      <c r="L63" s="1" t="n">
        <v>0.291874</v>
      </c>
      <c r="M63" s="1" t="n">
        <v>0.964595</v>
      </c>
      <c r="N63" s="10" t="n">
        <f aca="false">SUM(O63:U63)/7</f>
        <v>0.737314428571429</v>
      </c>
      <c r="O63" s="1" t="n">
        <v>0.76915</v>
      </c>
      <c r="P63" s="1" t="n">
        <v>0.607576</v>
      </c>
      <c r="Q63" s="1" t="n">
        <v>0.592809</v>
      </c>
      <c r="R63" s="1" t="n">
        <v>0.686036</v>
      </c>
      <c r="S63" s="1" t="n">
        <v>0.642439</v>
      </c>
      <c r="T63" s="1" t="n">
        <v>0.995676</v>
      </c>
      <c r="U63" s="1" t="n">
        <v>0.867515</v>
      </c>
    </row>
    <row r="64" customFormat="false" ht="14.25" hidden="false" customHeight="false" outlineLevel="0" collapsed="false">
      <c r="A64" s="1" t="s">
        <v>115</v>
      </c>
      <c r="B64" s="9" t="s">
        <v>216</v>
      </c>
      <c r="C64" s="10" t="s">
        <v>23</v>
      </c>
      <c r="D64" s="10" t="s">
        <v>24</v>
      </c>
      <c r="E64" s="11" t="s">
        <v>217</v>
      </c>
      <c r="F64" s="1" t="n">
        <v>426.3</v>
      </c>
      <c r="G64" s="13" t="s">
        <v>118</v>
      </c>
      <c r="H64" s="10" t="n">
        <f aca="false">SUM(I64,N64)/2</f>
        <v>0.735131196428572</v>
      </c>
      <c r="I64" s="10" t="n">
        <f aca="false">SUM(J64:M64)/4</f>
        <v>0.73108825</v>
      </c>
      <c r="J64" s="1" t="n">
        <v>0.836354</v>
      </c>
      <c r="K64" s="1" t="n">
        <v>0.828229</v>
      </c>
      <c r="L64" s="1" t="n">
        <v>0.304822</v>
      </c>
      <c r="M64" s="1" t="n">
        <v>0.954948</v>
      </c>
      <c r="N64" s="10" t="n">
        <f aca="false">SUM(O64:U64)/7</f>
        <v>0.739174142857143</v>
      </c>
      <c r="O64" s="1" t="n">
        <v>0.742775</v>
      </c>
      <c r="P64" s="1" t="n">
        <v>0.554273</v>
      </c>
      <c r="Q64" s="1" t="n">
        <v>0.597691</v>
      </c>
      <c r="R64" s="1" t="n">
        <v>0.750796</v>
      </c>
      <c r="S64" s="1" t="n">
        <v>0.651531</v>
      </c>
      <c r="T64" s="1" t="n">
        <v>0.993419</v>
      </c>
      <c r="U64" s="1" t="n">
        <v>0.883734</v>
      </c>
    </row>
    <row r="65" customFormat="false" ht="14.25" hidden="false" customHeight="false" outlineLevel="0" collapsed="false">
      <c r="A65" s="1" t="s">
        <v>115</v>
      </c>
      <c r="B65" s="9" t="s">
        <v>157</v>
      </c>
      <c r="C65" s="10" t="s">
        <v>23</v>
      </c>
      <c r="D65" s="10" t="s">
        <v>24</v>
      </c>
      <c r="E65" s="11" t="s">
        <v>218</v>
      </c>
      <c r="F65" s="1" t="n">
        <v>374.75</v>
      </c>
      <c r="G65" s="13" t="s">
        <v>118</v>
      </c>
      <c r="H65" s="10" t="n">
        <f aca="false">SUM(I65,N65)/2</f>
        <v>0.734921732142857</v>
      </c>
      <c r="I65" s="10" t="n">
        <f aca="false">SUM(J65:M65)/4</f>
        <v>0.73941975</v>
      </c>
      <c r="J65" s="1" t="n">
        <v>0.845455</v>
      </c>
      <c r="K65" s="1" t="n">
        <v>0.850184</v>
      </c>
      <c r="L65" s="1" t="n">
        <v>0.292114</v>
      </c>
      <c r="M65" s="1" t="n">
        <v>0.969926</v>
      </c>
      <c r="N65" s="10" t="n">
        <f aca="false">SUM(O65:U65)/7</f>
        <v>0.730423714285714</v>
      </c>
      <c r="O65" s="1" t="n">
        <v>0.76864</v>
      </c>
      <c r="P65" s="1" t="n">
        <v>0.606614</v>
      </c>
      <c r="Q65" s="1" t="n">
        <v>0.593171</v>
      </c>
      <c r="R65" s="1" t="n">
        <v>0.653933</v>
      </c>
      <c r="S65" s="1" t="n">
        <v>0.629221</v>
      </c>
      <c r="T65" s="1" t="n">
        <v>0.994963</v>
      </c>
      <c r="U65" s="1" t="n">
        <v>0.866424</v>
      </c>
    </row>
    <row r="66" customFormat="false" ht="14.25" hidden="false" customHeight="false" outlineLevel="0" collapsed="false">
      <c r="A66" s="1" t="s">
        <v>115</v>
      </c>
      <c r="B66" s="9" t="s">
        <v>152</v>
      </c>
      <c r="C66" s="10" t="s">
        <v>23</v>
      </c>
      <c r="D66" s="10" t="s">
        <v>35</v>
      </c>
      <c r="E66" s="11" t="s">
        <v>219</v>
      </c>
      <c r="F66" s="1" t="n">
        <v>439.35</v>
      </c>
      <c r="G66" s="13" t="s">
        <v>118</v>
      </c>
      <c r="H66" s="10" t="n">
        <f aca="false">SUM(I66,N66)/2</f>
        <v>0.734912517857143</v>
      </c>
      <c r="I66" s="10" t="n">
        <f aca="false">SUM(J66:M66)/4</f>
        <v>0.73087075</v>
      </c>
      <c r="J66" s="1" t="n">
        <v>0.84477</v>
      </c>
      <c r="K66" s="1" t="n">
        <v>0.813118</v>
      </c>
      <c r="L66" s="1" t="n">
        <v>0.305601</v>
      </c>
      <c r="M66" s="1" t="n">
        <v>0.959994</v>
      </c>
      <c r="N66" s="10" t="n">
        <f aca="false">SUM(O66:U66)/7</f>
        <v>0.738954285714286</v>
      </c>
      <c r="O66" s="1" t="n">
        <v>0.747814</v>
      </c>
      <c r="P66" s="1" t="n">
        <v>0.559228</v>
      </c>
      <c r="Q66" s="1" t="n">
        <v>0.602917</v>
      </c>
      <c r="R66" s="1" t="n">
        <v>0.77513</v>
      </c>
      <c r="S66" s="1" t="n">
        <v>0.624442</v>
      </c>
      <c r="T66" s="1" t="n">
        <v>0.994335</v>
      </c>
      <c r="U66" s="1" t="n">
        <v>0.868814</v>
      </c>
    </row>
    <row r="67" customFormat="false" ht="14.25" hidden="false" customHeight="false" outlineLevel="0" collapsed="false">
      <c r="A67" s="1" t="s">
        <v>115</v>
      </c>
      <c r="B67" s="9" t="s">
        <v>125</v>
      </c>
      <c r="C67" s="10" t="s">
        <v>23</v>
      </c>
      <c r="D67" s="10" t="s">
        <v>35</v>
      </c>
      <c r="E67" s="11" t="s">
        <v>220</v>
      </c>
      <c r="F67" s="1" t="n">
        <v>406.07</v>
      </c>
      <c r="G67" s="13" t="s">
        <v>118</v>
      </c>
      <c r="H67" s="10" t="n">
        <f aca="false">SUM(I67,N67)/2</f>
        <v>0.734894107142857</v>
      </c>
      <c r="I67" s="10" t="n">
        <f aca="false">SUM(J67:M67)/4</f>
        <v>0.7242795</v>
      </c>
      <c r="J67" s="1" t="n">
        <v>0.849893</v>
      </c>
      <c r="K67" s="1" t="n">
        <v>0.793032</v>
      </c>
      <c r="L67" s="1" t="n">
        <v>0.281672</v>
      </c>
      <c r="M67" s="1" t="n">
        <v>0.972521</v>
      </c>
      <c r="N67" s="10" t="n">
        <f aca="false">SUM(O67:U67)/7</f>
        <v>0.745508714285714</v>
      </c>
      <c r="O67" s="1" t="n">
        <v>0.764959</v>
      </c>
      <c r="P67" s="1" t="n">
        <v>0.603738</v>
      </c>
      <c r="Q67" s="1" t="n">
        <v>0.590571</v>
      </c>
      <c r="R67" s="1" t="n">
        <v>0.756996</v>
      </c>
      <c r="S67" s="1" t="n">
        <v>0.624262</v>
      </c>
      <c r="T67" s="1" t="n">
        <v>0.996014</v>
      </c>
      <c r="U67" s="1" t="n">
        <v>0.882021</v>
      </c>
    </row>
    <row r="68" customFormat="false" ht="14.25" hidden="false" customHeight="false" outlineLevel="0" collapsed="false">
      <c r="A68" s="1" t="s">
        <v>115</v>
      </c>
      <c r="B68" s="9" t="s">
        <v>221</v>
      </c>
      <c r="C68" s="10" t="s">
        <v>23</v>
      </c>
      <c r="D68" s="10" t="s">
        <v>35</v>
      </c>
      <c r="E68" s="11" t="s">
        <v>222</v>
      </c>
      <c r="F68" s="1" t="n">
        <v>691.85</v>
      </c>
      <c r="G68" s="13" t="s">
        <v>118</v>
      </c>
      <c r="H68" s="10" t="n">
        <f aca="false">SUM(I68,N68)/2</f>
        <v>0.734543767857143</v>
      </c>
      <c r="I68" s="10" t="n">
        <f aca="false">SUM(J68:M68)/4</f>
        <v>0.73382025</v>
      </c>
      <c r="J68" s="1" t="n">
        <v>0.848537</v>
      </c>
      <c r="K68" s="1" t="n">
        <v>0.813014</v>
      </c>
      <c r="L68" s="1" t="n">
        <v>0.31104</v>
      </c>
      <c r="M68" s="1" t="n">
        <v>0.96269</v>
      </c>
      <c r="N68" s="10" t="n">
        <f aca="false">SUM(O68:U68)/7</f>
        <v>0.735267285714286</v>
      </c>
      <c r="O68" s="1" t="n">
        <v>0.710047</v>
      </c>
      <c r="P68" s="1" t="n">
        <v>0.540963</v>
      </c>
      <c r="Q68" s="1" t="n">
        <v>0.592148</v>
      </c>
      <c r="R68" s="1" t="n">
        <v>0.793048</v>
      </c>
      <c r="S68" s="1" t="n">
        <v>0.642648</v>
      </c>
      <c r="T68" s="1" t="n">
        <v>0.986219</v>
      </c>
      <c r="U68" s="1" t="n">
        <v>0.881798</v>
      </c>
    </row>
    <row r="69" customFormat="false" ht="14.25" hidden="false" customHeight="false" outlineLevel="0" collapsed="false">
      <c r="A69" s="1" t="s">
        <v>115</v>
      </c>
      <c r="B69" s="9" t="s">
        <v>223</v>
      </c>
      <c r="C69" s="10" t="s">
        <v>23</v>
      </c>
      <c r="D69" s="10" t="s">
        <v>24</v>
      </c>
      <c r="E69" s="11" t="s">
        <v>224</v>
      </c>
      <c r="F69" s="1" t="n">
        <v>326.36</v>
      </c>
      <c r="G69" s="13" t="s">
        <v>118</v>
      </c>
      <c r="H69" s="10" t="n">
        <f aca="false">SUM(I69,N69)/2</f>
        <v>0.734475982142857</v>
      </c>
      <c r="I69" s="10" t="n">
        <f aca="false">SUM(J69:M69)/4</f>
        <v>0.72278025</v>
      </c>
      <c r="J69" s="1" t="n">
        <v>0.828214</v>
      </c>
      <c r="K69" s="1" t="n">
        <v>0.804351</v>
      </c>
      <c r="L69" s="1" t="n">
        <v>0.30993</v>
      </c>
      <c r="M69" s="1" t="n">
        <v>0.948626</v>
      </c>
      <c r="N69" s="10" t="n">
        <f aca="false">SUM(O69:U69)/7</f>
        <v>0.746171714285714</v>
      </c>
      <c r="O69" s="1" t="n">
        <v>0.757829</v>
      </c>
      <c r="P69" s="1" t="n">
        <v>0.604876</v>
      </c>
      <c r="Q69" s="1" t="n">
        <v>0.599169</v>
      </c>
      <c r="R69" s="1" t="n">
        <v>0.791888</v>
      </c>
      <c r="S69" s="1" t="n">
        <v>0.609837</v>
      </c>
      <c r="T69" s="1" t="n">
        <v>0.993753</v>
      </c>
      <c r="U69" s="1" t="n">
        <v>0.86585</v>
      </c>
    </row>
    <row r="70" customFormat="false" ht="14.25" hidden="false" customHeight="false" outlineLevel="0" collapsed="false">
      <c r="A70" s="1" t="s">
        <v>115</v>
      </c>
      <c r="B70" s="9" t="s">
        <v>175</v>
      </c>
      <c r="C70" s="10" t="s">
        <v>23</v>
      </c>
      <c r="D70" s="10" t="s">
        <v>35</v>
      </c>
      <c r="E70" s="11" t="s">
        <v>225</v>
      </c>
      <c r="F70" s="1" t="n">
        <v>498.88</v>
      </c>
      <c r="G70" s="13" t="s">
        <v>118</v>
      </c>
      <c r="H70" s="10" t="n">
        <f aca="false">SUM(I70,N70)/2</f>
        <v>0.733928125</v>
      </c>
      <c r="I70" s="10" t="n">
        <f aca="false">SUM(J70:M70)/4</f>
        <v>0.72240125</v>
      </c>
      <c r="J70" s="1" t="n">
        <v>0.833261</v>
      </c>
      <c r="K70" s="1" t="n">
        <v>0.797766</v>
      </c>
      <c r="L70" s="1" t="n">
        <v>0.290692</v>
      </c>
      <c r="M70" s="1" t="n">
        <v>0.967886</v>
      </c>
      <c r="N70" s="10" t="n">
        <f aca="false">SUM(O70:U70)/7</f>
        <v>0.745455</v>
      </c>
      <c r="O70" s="1" t="n">
        <v>0.76255</v>
      </c>
      <c r="P70" s="1" t="n">
        <v>0.606745</v>
      </c>
      <c r="Q70" s="1" t="n">
        <v>0.601494</v>
      </c>
      <c r="R70" s="1" t="n">
        <v>0.741175</v>
      </c>
      <c r="S70" s="1" t="n">
        <v>0.643397</v>
      </c>
      <c r="T70" s="1" t="n">
        <v>0.997093</v>
      </c>
      <c r="U70" s="1" t="n">
        <v>0.865731</v>
      </c>
    </row>
    <row r="71" customFormat="false" ht="14.25" hidden="false" customHeight="false" outlineLevel="0" collapsed="false">
      <c r="A71" s="1" t="s">
        <v>115</v>
      </c>
      <c r="B71" s="9" t="s">
        <v>197</v>
      </c>
      <c r="C71" s="10" t="s">
        <v>23</v>
      </c>
      <c r="D71" s="10" t="s">
        <v>35</v>
      </c>
      <c r="E71" s="11" t="s">
        <v>226</v>
      </c>
      <c r="F71" s="1" t="n">
        <v>465.97</v>
      </c>
      <c r="G71" s="13" t="s">
        <v>118</v>
      </c>
      <c r="H71" s="10" t="n">
        <f aca="false">SUM(I71,N71)/2</f>
        <v>0.733182946428572</v>
      </c>
      <c r="I71" s="10" t="n">
        <f aca="false">SUM(J71:M71)/4</f>
        <v>0.73042475</v>
      </c>
      <c r="J71" s="1" t="n">
        <v>0.834702</v>
      </c>
      <c r="K71" s="1" t="n">
        <v>0.815904</v>
      </c>
      <c r="L71" s="1" t="n">
        <v>0.30501</v>
      </c>
      <c r="M71" s="1" t="n">
        <v>0.966083</v>
      </c>
      <c r="N71" s="10" t="n">
        <f aca="false">SUM(O71:U71)/7</f>
        <v>0.735941142857143</v>
      </c>
      <c r="O71" s="1" t="n">
        <v>0.757575</v>
      </c>
      <c r="P71" s="1" t="n">
        <v>0.599257</v>
      </c>
      <c r="Q71" s="1" t="n">
        <v>0.595544</v>
      </c>
      <c r="R71" s="1" t="n">
        <v>0.696198</v>
      </c>
      <c r="S71" s="1" t="n">
        <v>0.625099</v>
      </c>
      <c r="T71" s="1" t="n">
        <v>0.995048</v>
      </c>
      <c r="U71" s="1" t="n">
        <v>0.882867</v>
      </c>
    </row>
    <row r="72" customFormat="false" ht="14.25" hidden="false" customHeight="false" outlineLevel="0" collapsed="false">
      <c r="A72" s="1" t="s">
        <v>115</v>
      </c>
      <c r="B72" s="9" t="s">
        <v>216</v>
      </c>
      <c r="C72" s="10" t="s">
        <v>23</v>
      </c>
      <c r="D72" s="10" t="s">
        <v>35</v>
      </c>
      <c r="E72" s="11" t="s">
        <v>227</v>
      </c>
      <c r="F72" s="1" t="n">
        <v>383.37</v>
      </c>
      <c r="G72" s="13" t="s">
        <v>118</v>
      </c>
      <c r="H72" s="10" t="n">
        <f aca="false">SUM(I72,N72)/2</f>
        <v>0.732975214285714</v>
      </c>
      <c r="I72" s="10" t="n">
        <f aca="false">SUM(J72:M72)/4</f>
        <v>0.732584</v>
      </c>
      <c r="J72" s="1" t="n">
        <v>0.841725</v>
      </c>
      <c r="K72" s="1" t="n">
        <v>0.811428</v>
      </c>
      <c r="L72" s="1" t="n">
        <v>0.315009</v>
      </c>
      <c r="M72" s="1" t="n">
        <v>0.962174</v>
      </c>
      <c r="N72" s="10" t="n">
        <f aca="false">SUM(O72:U72)/7</f>
        <v>0.733366428571429</v>
      </c>
      <c r="O72" s="1" t="n">
        <v>0.743128</v>
      </c>
      <c r="P72" s="1" t="n">
        <v>0.584358</v>
      </c>
      <c r="Q72" s="1" t="n">
        <v>0.581216</v>
      </c>
      <c r="R72" s="1" t="n">
        <v>0.751789</v>
      </c>
      <c r="S72" s="1" t="n">
        <v>0.615885</v>
      </c>
      <c r="T72" s="1" t="n">
        <v>0.992888</v>
      </c>
      <c r="U72" s="1" t="n">
        <v>0.864301</v>
      </c>
    </row>
    <row r="73" customFormat="false" ht="14.25" hidden="false" customHeight="false" outlineLevel="0" collapsed="false">
      <c r="A73" s="1" t="s">
        <v>115</v>
      </c>
      <c r="B73" s="9" t="s">
        <v>228</v>
      </c>
      <c r="C73" s="10" t="s">
        <v>23</v>
      </c>
      <c r="D73" s="10" t="s">
        <v>24</v>
      </c>
      <c r="E73" s="11" t="s">
        <v>229</v>
      </c>
      <c r="F73" s="1" t="n">
        <v>341.57</v>
      </c>
      <c r="G73" s="13" t="s">
        <v>118</v>
      </c>
      <c r="H73" s="10" t="n">
        <f aca="false">SUM(I73,N73)/2</f>
        <v>0.732593446428572</v>
      </c>
      <c r="I73" s="10" t="n">
        <f aca="false">SUM(J73:M73)/4</f>
        <v>0.72465375</v>
      </c>
      <c r="J73" s="1" t="n">
        <v>0.801355</v>
      </c>
      <c r="K73" s="1" t="n">
        <v>0.857084</v>
      </c>
      <c r="L73" s="1" t="n">
        <v>0.306747</v>
      </c>
      <c r="M73" s="1" t="n">
        <v>0.933429</v>
      </c>
      <c r="N73" s="10" t="n">
        <f aca="false">SUM(O73:U73)/7</f>
        <v>0.740533142857143</v>
      </c>
      <c r="O73" s="1" t="n">
        <v>0.753341</v>
      </c>
      <c r="P73" s="1" t="n">
        <v>0.609298</v>
      </c>
      <c r="Q73" s="1" t="n">
        <v>0.635803</v>
      </c>
      <c r="R73" s="1" t="n">
        <v>0.73257</v>
      </c>
      <c r="S73" s="1" t="n">
        <v>0.630844</v>
      </c>
      <c r="T73" s="1" t="n">
        <v>0.99688</v>
      </c>
      <c r="U73" s="1" t="n">
        <v>0.824996</v>
      </c>
    </row>
    <row r="74" customFormat="false" ht="14.25" hidden="false" customHeight="false" outlineLevel="0" collapsed="false">
      <c r="A74" s="1" t="s">
        <v>115</v>
      </c>
      <c r="B74" s="9" t="s">
        <v>230</v>
      </c>
      <c r="C74" s="10" t="s">
        <v>23</v>
      </c>
      <c r="D74" s="10" t="s">
        <v>24</v>
      </c>
      <c r="E74" s="11" t="s">
        <v>231</v>
      </c>
      <c r="F74" s="1" t="n">
        <v>319.59</v>
      </c>
      <c r="G74" s="13" t="s">
        <v>118</v>
      </c>
      <c r="H74" s="10" t="n">
        <f aca="false">SUM(I74,N74)/2</f>
        <v>0.732527053571429</v>
      </c>
      <c r="I74" s="10" t="n">
        <f aca="false">SUM(J74:M74)/4</f>
        <v>0.72201825</v>
      </c>
      <c r="J74" s="1" t="n">
        <v>0.81487</v>
      </c>
      <c r="K74" s="1" t="n">
        <v>0.820704</v>
      </c>
      <c r="L74" s="1" t="n">
        <v>0.297486</v>
      </c>
      <c r="M74" s="1" t="n">
        <v>0.955013</v>
      </c>
      <c r="N74" s="10" t="n">
        <f aca="false">SUM(O74:U74)/7</f>
        <v>0.743035857142857</v>
      </c>
      <c r="O74" s="1" t="n">
        <v>0.765304</v>
      </c>
      <c r="P74" s="1" t="n">
        <v>0.601066</v>
      </c>
      <c r="Q74" s="1" t="n">
        <v>0.620193</v>
      </c>
      <c r="R74" s="1" t="n">
        <v>0.722607</v>
      </c>
      <c r="S74" s="1" t="n">
        <v>0.620027</v>
      </c>
      <c r="T74" s="1" t="n">
        <v>0.99745</v>
      </c>
      <c r="U74" s="1" t="n">
        <v>0.874604</v>
      </c>
    </row>
    <row r="75" customFormat="false" ht="14.25" hidden="false" customHeight="false" outlineLevel="0" collapsed="false">
      <c r="A75" s="1" t="s">
        <v>115</v>
      </c>
      <c r="B75" s="9" t="s">
        <v>230</v>
      </c>
      <c r="C75" s="10" t="s">
        <v>23</v>
      </c>
      <c r="D75" s="10" t="s">
        <v>35</v>
      </c>
      <c r="E75" s="11" t="s">
        <v>232</v>
      </c>
      <c r="F75" s="1" t="n">
        <v>455.07</v>
      </c>
      <c r="G75" s="13" t="s">
        <v>118</v>
      </c>
      <c r="H75" s="10" t="n">
        <f aca="false">SUM(I75,N75)/2</f>
        <v>0.731398660714286</v>
      </c>
      <c r="I75" s="10" t="n">
        <f aca="false">SUM(J75:M75)/4</f>
        <v>0.73362475</v>
      </c>
      <c r="J75" s="1" t="n">
        <v>0.840123</v>
      </c>
      <c r="K75" s="1" t="n">
        <v>0.828044</v>
      </c>
      <c r="L75" s="1" t="n">
        <v>0.293891</v>
      </c>
      <c r="M75" s="1" t="n">
        <v>0.972441</v>
      </c>
      <c r="N75" s="10" t="n">
        <f aca="false">SUM(O75:U75)/7</f>
        <v>0.729172571428571</v>
      </c>
      <c r="O75" s="1" t="n">
        <v>0.758681</v>
      </c>
      <c r="P75" s="1" t="n">
        <v>0.594796</v>
      </c>
      <c r="Q75" s="1" t="n">
        <v>0.605016</v>
      </c>
      <c r="R75" s="1" t="n">
        <v>0.760285</v>
      </c>
      <c r="S75" s="1" t="n">
        <v>0.634009</v>
      </c>
      <c r="T75" s="1" t="n">
        <v>0.996519</v>
      </c>
      <c r="U75" s="1" t="n">
        <v>0.754902</v>
      </c>
    </row>
    <row r="76" customFormat="false" ht="14.25" hidden="false" customHeight="false" outlineLevel="0" collapsed="false">
      <c r="A76" s="1" t="s">
        <v>115</v>
      </c>
      <c r="B76" s="9" t="s">
        <v>212</v>
      </c>
      <c r="C76" s="10" t="s">
        <v>23</v>
      </c>
      <c r="D76" s="10" t="s">
        <v>35</v>
      </c>
      <c r="E76" s="11" t="s">
        <v>233</v>
      </c>
      <c r="F76" s="1" t="n">
        <v>453.44</v>
      </c>
      <c r="G76" s="13" t="s">
        <v>118</v>
      </c>
      <c r="H76" s="10" t="n">
        <f aca="false">SUM(I76,N76)/2</f>
        <v>0.731176107142857</v>
      </c>
      <c r="I76" s="10" t="n">
        <f aca="false">SUM(J76:M76)/4</f>
        <v>0.7350535</v>
      </c>
      <c r="J76" s="1" t="n">
        <v>0.84168</v>
      </c>
      <c r="K76" s="1" t="n">
        <v>0.811379</v>
      </c>
      <c r="L76" s="1" t="n">
        <v>0.3203</v>
      </c>
      <c r="M76" s="1" t="n">
        <v>0.966855</v>
      </c>
      <c r="N76" s="10" t="n">
        <f aca="false">SUM(O76:U76)/7</f>
        <v>0.727298714285714</v>
      </c>
      <c r="O76" s="1" t="n">
        <v>0.705784</v>
      </c>
      <c r="P76" s="1" t="n">
        <v>0.531108</v>
      </c>
      <c r="Q76" s="1" t="n">
        <v>0.588926</v>
      </c>
      <c r="R76" s="1" t="n">
        <v>0.765876</v>
      </c>
      <c r="S76" s="1" t="n">
        <v>0.626169</v>
      </c>
      <c r="T76" s="1" t="n">
        <v>0.986707</v>
      </c>
      <c r="U76" s="1" t="n">
        <v>0.886521</v>
      </c>
    </row>
    <row r="77" customFormat="false" ht="14.25" hidden="false" customHeight="false" outlineLevel="0" collapsed="false">
      <c r="A77" s="1" t="s">
        <v>115</v>
      </c>
      <c r="B77" s="9" t="s">
        <v>138</v>
      </c>
      <c r="C77" s="10" t="s">
        <v>23</v>
      </c>
      <c r="D77" s="10" t="s">
        <v>35</v>
      </c>
      <c r="E77" s="11" t="s">
        <v>234</v>
      </c>
      <c r="F77" s="1" t="n">
        <v>392.77</v>
      </c>
      <c r="G77" s="13" t="s">
        <v>118</v>
      </c>
      <c r="H77" s="10" t="n">
        <f aca="false">SUM(I77,N77)/2</f>
        <v>0.729659910714286</v>
      </c>
      <c r="I77" s="10" t="n">
        <f aca="false">SUM(J77:M77)/4</f>
        <v>0.71237525</v>
      </c>
      <c r="J77" s="1" t="n">
        <v>0.847088</v>
      </c>
      <c r="K77" s="1" t="n">
        <v>0.794426</v>
      </c>
      <c r="L77" s="1" t="n">
        <v>0.292815</v>
      </c>
      <c r="M77" s="1" t="n">
        <v>0.915172</v>
      </c>
      <c r="N77" s="10" t="n">
        <f aca="false">SUM(O77:U77)/7</f>
        <v>0.746944571428571</v>
      </c>
      <c r="O77" s="1" t="n">
        <v>0.763531</v>
      </c>
      <c r="P77" s="1" t="n">
        <v>0.608684</v>
      </c>
      <c r="Q77" s="1" t="n">
        <v>0.584362</v>
      </c>
      <c r="R77" s="1" t="n">
        <v>0.802172</v>
      </c>
      <c r="S77" s="1" t="n">
        <v>0.61255</v>
      </c>
      <c r="T77" s="1" t="n">
        <v>0.996035</v>
      </c>
      <c r="U77" s="1" t="n">
        <v>0.861278</v>
      </c>
    </row>
    <row r="78" customFormat="false" ht="14.25" hidden="false" customHeight="false" outlineLevel="0" collapsed="false">
      <c r="A78" s="1" t="s">
        <v>115</v>
      </c>
      <c r="B78" s="9" t="s">
        <v>185</v>
      </c>
      <c r="C78" s="10" t="s">
        <v>23</v>
      </c>
      <c r="D78" s="10" t="s">
        <v>35</v>
      </c>
      <c r="E78" s="11" t="s">
        <v>235</v>
      </c>
      <c r="F78" s="1" t="n">
        <v>393.33</v>
      </c>
      <c r="G78" s="13" t="s">
        <v>118</v>
      </c>
      <c r="H78" s="10" t="n">
        <f aca="false">SUM(I78,N78)/2</f>
        <v>0.727393107142857</v>
      </c>
      <c r="I78" s="10" t="n">
        <f aca="false">SUM(J78:M78)/4</f>
        <v>0.7396125</v>
      </c>
      <c r="J78" s="1" t="n">
        <v>0.844884</v>
      </c>
      <c r="K78" s="1" t="n">
        <v>0.830675</v>
      </c>
      <c r="L78" s="1" t="n">
        <v>0.314441</v>
      </c>
      <c r="M78" s="1" t="n">
        <v>0.96845</v>
      </c>
      <c r="N78" s="10" t="n">
        <f aca="false">SUM(O78:U78)/7</f>
        <v>0.715173714285714</v>
      </c>
      <c r="O78" s="1" t="n">
        <v>0.743724</v>
      </c>
      <c r="P78" s="1" t="n">
        <v>0.588837</v>
      </c>
      <c r="Q78" s="1" t="n">
        <v>0.588277</v>
      </c>
      <c r="R78" s="1" t="n">
        <v>0.622837</v>
      </c>
      <c r="S78" s="1" t="n">
        <v>0.60745</v>
      </c>
      <c r="T78" s="1" t="n">
        <v>0.991921</v>
      </c>
      <c r="U78" s="1" t="n">
        <v>0.86317</v>
      </c>
    </row>
    <row r="79" customFormat="false" ht="14.25" hidden="false" customHeight="false" outlineLevel="0" collapsed="false">
      <c r="A79" s="1" t="s">
        <v>115</v>
      </c>
      <c r="B79" s="9" t="s">
        <v>155</v>
      </c>
      <c r="C79" s="10" t="s">
        <v>23</v>
      </c>
      <c r="D79" s="10" t="s">
        <v>24</v>
      </c>
      <c r="E79" s="11" t="s">
        <v>236</v>
      </c>
      <c r="F79" s="1" t="n">
        <v>402.44</v>
      </c>
      <c r="G79" s="13" t="s">
        <v>118</v>
      </c>
      <c r="H79" s="10" t="n">
        <f aca="false">SUM(I79,N79)/2</f>
        <v>0.72456825</v>
      </c>
      <c r="I79" s="10" t="n">
        <f aca="false">SUM(J79:M79)/4</f>
        <v>0.7343465</v>
      </c>
      <c r="J79" s="1" t="n">
        <v>0.82849</v>
      </c>
      <c r="K79" s="1" t="n">
        <v>0.848303</v>
      </c>
      <c r="L79" s="1" t="n">
        <v>0.302311</v>
      </c>
      <c r="M79" s="1" t="n">
        <v>0.958282</v>
      </c>
      <c r="N79" s="10" t="n">
        <f aca="false">SUM(O79:U79)/7</f>
        <v>0.71479</v>
      </c>
      <c r="O79" s="1" t="n">
        <v>0.761704</v>
      </c>
      <c r="P79" s="1" t="n">
        <v>0.608406</v>
      </c>
      <c r="Q79" s="1" t="n">
        <v>0.60737</v>
      </c>
      <c r="R79" s="1" t="n">
        <v>0.722518</v>
      </c>
      <c r="S79" s="1" t="n">
        <v>0.639543</v>
      </c>
      <c r="T79" s="1" t="n">
        <v>0.995604</v>
      </c>
      <c r="U79" s="1" t="n">
        <v>0.668385</v>
      </c>
    </row>
    <row r="80" customFormat="false" ht="14.25" hidden="false" customHeight="false" outlineLevel="0" collapsed="false">
      <c r="A80" s="1" t="s">
        <v>115</v>
      </c>
      <c r="B80" s="9" t="s">
        <v>207</v>
      </c>
      <c r="C80" s="10" t="s">
        <v>23</v>
      </c>
      <c r="D80" s="10" t="s">
        <v>24</v>
      </c>
      <c r="E80" s="11" t="s">
        <v>237</v>
      </c>
      <c r="F80" s="1" t="n">
        <v>381.62</v>
      </c>
      <c r="G80" s="13" t="s">
        <v>118</v>
      </c>
      <c r="H80" s="10" t="n">
        <f aca="false">SUM(I80,N80)/2</f>
        <v>0.724405017857143</v>
      </c>
      <c r="I80" s="10" t="n">
        <f aca="false">SUM(J80:M80)/4</f>
        <v>0.73570375</v>
      </c>
      <c r="J80" s="1" t="n">
        <v>0.832844</v>
      </c>
      <c r="K80" s="1" t="n">
        <v>0.860468</v>
      </c>
      <c r="L80" s="1" t="n">
        <v>0.296793</v>
      </c>
      <c r="M80" s="1" t="n">
        <v>0.95271</v>
      </c>
      <c r="N80" s="10" t="n">
        <f aca="false">SUM(O80:U80)/7</f>
        <v>0.713106285714286</v>
      </c>
      <c r="O80" s="1" t="n">
        <v>0.767553</v>
      </c>
      <c r="P80" s="1" t="n">
        <v>0.600501</v>
      </c>
      <c r="Q80" s="1" t="n">
        <v>0.603817</v>
      </c>
      <c r="R80" s="1" t="n">
        <v>0.751528</v>
      </c>
      <c r="S80" s="1" t="n">
        <v>0.656055</v>
      </c>
      <c r="T80" s="1" t="n">
        <v>0.995906</v>
      </c>
      <c r="U80" s="1" t="n">
        <v>0.616384</v>
      </c>
    </row>
    <row r="81" customFormat="false" ht="14.25" hidden="false" customHeight="false" outlineLevel="0" collapsed="false">
      <c r="A81" s="1" t="s">
        <v>115</v>
      </c>
      <c r="B81" s="9" t="s">
        <v>238</v>
      </c>
      <c r="C81" s="10" t="s">
        <v>23</v>
      </c>
      <c r="D81" s="10" t="s">
        <v>24</v>
      </c>
      <c r="E81" s="11" t="s">
        <v>239</v>
      </c>
      <c r="F81" s="1" t="n">
        <v>613.17</v>
      </c>
      <c r="G81" s="13" t="s">
        <v>118</v>
      </c>
      <c r="H81" s="10" t="n">
        <f aca="false">SUM(I81,N81)/2</f>
        <v>0.723754071428572</v>
      </c>
      <c r="I81" s="10" t="n">
        <f aca="false">SUM(J81:M81)/4</f>
        <v>0.734139</v>
      </c>
      <c r="J81" s="1" t="n">
        <v>0.820879</v>
      </c>
      <c r="K81" s="1" t="n">
        <v>0.848479</v>
      </c>
      <c r="L81" s="1" t="n">
        <v>0.315734</v>
      </c>
      <c r="M81" s="1" t="n">
        <v>0.951464</v>
      </c>
      <c r="N81" s="10" t="n">
        <f aca="false">SUM(O81:U81)/7</f>
        <v>0.713369142857143</v>
      </c>
      <c r="O81" s="1" t="n">
        <v>0.708109</v>
      </c>
      <c r="P81" s="1" t="n">
        <v>0.5303</v>
      </c>
      <c r="Q81" s="1" t="n">
        <v>0.590797</v>
      </c>
      <c r="R81" s="1" t="n">
        <v>0.690499</v>
      </c>
      <c r="S81" s="1" t="n">
        <v>0.612722</v>
      </c>
      <c r="T81" s="1" t="n">
        <v>0.987371</v>
      </c>
      <c r="U81" s="1" t="n">
        <v>0.873786</v>
      </c>
    </row>
    <row r="82" customFormat="false" ht="14.25" hidden="false" customHeight="false" outlineLevel="0" collapsed="false">
      <c r="A82" s="1" t="s">
        <v>115</v>
      </c>
      <c r="B82" s="9" t="s">
        <v>240</v>
      </c>
      <c r="C82" s="10" t="s">
        <v>23</v>
      </c>
      <c r="D82" s="10" t="s">
        <v>24</v>
      </c>
      <c r="E82" s="11" t="s">
        <v>241</v>
      </c>
      <c r="F82" s="1" t="n">
        <v>315.51</v>
      </c>
      <c r="G82" s="13" t="s">
        <v>118</v>
      </c>
      <c r="H82" s="10" t="n">
        <f aca="false">SUM(I82,N82)/2</f>
        <v>0.723745482142857</v>
      </c>
      <c r="I82" s="10" t="n">
        <f aca="false">SUM(J82:M82)/4</f>
        <v>0.73175625</v>
      </c>
      <c r="J82" s="1" t="n">
        <v>0.823492</v>
      </c>
      <c r="K82" s="1" t="n">
        <v>0.831341</v>
      </c>
      <c r="L82" s="1" t="n">
        <v>0.321492</v>
      </c>
      <c r="M82" s="1" t="n">
        <v>0.9507</v>
      </c>
      <c r="N82" s="10" t="n">
        <f aca="false">SUM(O82:U82)/7</f>
        <v>0.715734714285714</v>
      </c>
      <c r="O82" s="1" t="n">
        <v>0.712264</v>
      </c>
      <c r="P82" s="1" t="n">
        <v>0.537766</v>
      </c>
      <c r="Q82" s="1" t="n">
        <v>0.573157</v>
      </c>
      <c r="R82" s="1" t="n">
        <v>0.692667</v>
      </c>
      <c r="S82" s="1" t="n">
        <v>0.629137</v>
      </c>
      <c r="T82" s="1" t="n">
        <v>0.987047</v>
      </c>
      <c r="U82" s="1" t="n">
        <v>0.878105</v>
      </c>
    </row>
    <row r="83" customFormat="false" ht="14.25" hidden="false" customHeight="false" outlineLevel="0" collapsed="false">
      <c r="A83" s="1" t="s">
        <v>115</v>
      </c>
      <c r="B83" s="9" t="s">
        <v>242</v>
      </c>
      <c r="C83" s="10" t="s">
        <v>23</v>
      </c>
      <c r="D83" s="10" t="s">
        <v>24</v>
      </c>
      <c r="E83" s="11" t="s">
        <v>243</v>
      </c>
      <c r="F83" s="1" t="n">
        <v>370.64</v>
      </c>
      <c r="G83" s="13" t="s">
        <v>118</v>
      </c>
      <c r="H83" s="10" t="n">
        <f aca="false">SUM(I83,N83)/2</f>
        <v>0.723625107142857</v>
      </c>
      <c r="I83" s="10" t="n">
        <f aca="false">SUM(J83:M83)/4</f>
        <v>0.7363945</v>
      </c>
      <c r="J83" s="1" t="n">
        <v>0.836286</v>
      </c>
      <c r="K83" s="1" t="n">
        <v>0.832089</v>
      </c>
      <c r="L83" s="1" t="n">
        <v>0.317668</v>
      </c>
      <c r="M83" s="1" t="n">
        <v>0.959535</v>
      </c>
      <c r="N83" s="10" t="n">
        <f aca="false">SUM(O83:U83)/7</f>
        <v>0.710855714285714</v>
      </c>
      <c r="O83" s="1" t="n">
        <v>0.696798</v>
      </c>
      <c r="P83" s="1" t="n">
        <v>0.488114</v>
      </c>
      <c r="Q83" s="1" t="n">
        <v>0.585612</v>
      </c>
      <c r="R83" s="1" t="n">
        <v>0.697362</v>
      </c>
      <c r="S83" s="1" t="n">
        <v>0.629989</v>
      </c>
      <c r="T83" s="1" t="n">
        <v>0.986591</v>
      </c>
      <c r="U83" s="1" t="n">
        <v>0.891524</v>
      </c>
    </row>
    <row r="84" customFormat="false" ht="14.25" hidden="false" customHeight="false" outlineLevel="0" collapsed="false">
      <c r="A84" s="1" t="s">
        <v>115</v>
      </c>
      <c r="B84" s="9" t="s">
        <v>244</v>
      </c>
      <c r="C84" s="10" t="s">
        <v>23</v>
      </c>
      <c r="D84" s="10" t="s">
        <v>35</v>
      </c>
      <c r="E84" s="11" t="s">
        <v>245</v>
      </c>
      <c r="F84" s="1" t="n">
        <v>519.38</v>
      </c>
      <c r="G84" s="13" t="s">
        <v>118</v>
      </c>
      <c r="H84" s="10" t="n">
        <f aca="false">SUM(I84,N84)/2</f>
        <v>0.723018607142857</v>
      </c>
      <c r="I84" s="10" t="n">
        <f aca="false">SUM(J84:M84)/4</f>
        <v>0.7356745</v>
      </c>
      <c r="J84" s="1" t="n">
        <v>0.827906</v>
      </c>
      <c r="K84" s="1" t="n">
        <v>0.836834</v>
      </c>
      <c r="L84" s="1" t="n">
        <v>0.309571</v>
      </c>
      <c r="M84" s="1" t="n">
        <v>0.968387</v>
      </c>
      <c r="N84" s="10" t="n">
        <f aca="false">SUM(O84:U84)/7</f>
        <v>0.710362714285714</v>
      </c>
      <c r="O84" s="1" t="n">
        <v>0.737139</v>
      </c>
      <c r="P84" s="1" t="n">
        <v>0.584753</v>
      </c>
      <c r="Q84" s="1" t="n">
        <v>0.585728</v>
      </c>
      <c r="R84" s="1" t="n">
        <v>0.605537</v>
      </c>
      <c r="S84" s="1" t="n">
        <v>0.59235</v>
      </c>
      <c r="T84" s="1" t="n">
        <v>0.99244</v>
      </c>
      <c r="U84" s="1" t="n">
        <v>0.874592</v>
      </c>
    </row>
    <row r="85" customFormat="false" ht="14.25" hidden="false" customHeight="false" outlineLevel="0" collapsed="false">
      <c r="A85" s="1" t="s">
        <v>115</v>
      </c>
      <c r="B85" s="9" t="s">
        <v>195</v>
      </c>
      <c r="C85" s="10" t="s">
        <v>23</v>
      </c>
      <c r="D85" s="10" t="s">
        <v>35</v>
      </c>
      <c r="E85" s="11" t="s">
        <v>246</v>
      </c>
      <c r="F85" s="1" t="n">
        <v>391.21</v>
      </c>
      <c r="G85" s="13" t="s">
        <v>118</v>
      </c>
      <c r="H85" s="10" t="n">
        <f aca="false">SUM(I85,N85)/2</f>
        <v>0.722753875</v>
      </c>
      <c r="I85" s="10" t="n">
        <f aca="false">SUM(J85:M85)/4</f>
        <v>0.70670875</v>
      </c>
      <c r="J85" s="1" t="n">
        <v>0.861788</v>
      </c>
      <c r="K85" s="1" t="n">
        <v>0.766728</v>
      </c>
      <c r="L85" s="1" t="n">
        <v>0.283083</v>
      </c>
      <c r="M85" s="1" t="n">
        <v>0.915236</v>
      </c>
      <c r="N85" s="10" t="n">
        <f aca="false">SUM(O85:U85)/7</f>
        <v>0.738799</v>
      </c>
      <c r="O85" s="1" t="n">
        <v>0.76021</v>
      </c>
      <c r="P85" s="1" t="n">
        <v>0.612868</v>
      </c>
      <c r="Q85" s="1" t="n">
        <v>0.589963</v>
      </c>
      <c r="R85" s="1" t="n">
        <v>0.719957</v>
      </c>
      <c r="S85" s="1" t="n">
        <v>0.634963</v>
      </c>
      <c r="T85" s="1" t="n">
        <v>0.995285</v>
      </c>
      <c r="U85" s="1" t="n">
        <v>0.858347</v>
      </c>
    </row>
    <row r="86" customFormat="false" ht="14.25" hidden="false" customHeight="false" outlineLevel="0" collapsed="false">
      <c r="A86" s="1" t="s">
        <v>115</v>
      </c>
      <c r="B86" s="9" t="s">
        <v>223</v>
      </c>
      <c r="C86" s="10" t="s">
        <v>23</v>
      </c>
      <c r="D86" s="10" t="s">
        <v>35</v>
      </c>
      <c r="E86" s="11" t="s">
        <v>247</v>
      </c>
      <c r="F86" s="1" t="n">
        <v>451.94</v>
      </c>
      <c r="G86" s="13" t="s">
        <v>118</v>
      </c>
      <c r="H86" s="10" t="n">
        <f aca="false">SUM(I86,N86)/2</f>
        <v>0.7223865</v>
      </c>
      <c r="I86" s="10" t="n">
        <f aca="false">SUM(J86:M86)/4</f>
        <v>0.717896</v>
      </c>
      <c r="J86" s="1" t="n">
        <v>0.831032</v>
      </c>
      <c r="K86" s="1" t="n">
        <v>0.782494</v>
      </c>
      <c r="L86" s="1" t="n">
        <v>0.306653</v>
      </c>
      <c r="M86" s="1" t="n">
        <v>0.951405</v>
      </c>
      <c r="N86" s="10" t="n">
        <f aca="false">SUM(O86:U86)/7</f>
        <v>0.726877</v>
      </c>
      <c r="O86" s="1" t="n">
        <v>0.737701</v>
      </c>
      <c r="P86" s="1" t="n">
        <v>0.5858</v>
      </c>
      <c r="Q86" s="1" t="n">
        <v>0.582287</v>
      </c>
      <c r="R86" s="1" t="n">
        <v>0.674756</v>
      </c>
      <c r="S86" s="1" t="n">
        <v>0.639167</v>
      </c>
      <c r="T86" s="1" t="n">
        <v>0.990481</v>
      </c>
      <c r="U86" s="1" t="n">
        <v>0.877947</v>
      </c>
    </row>
    <row r="87" customFormat="false" ht="14.25" hidden="false" customHeight="false" outlineLevel="0" collapsed="false">
      <c r="A87" s="1" t="s">
        <v>115</v>
      </c>
      <c r="B87" s="9" t="s">
        <v>248</v>
      </c>
      <c r="C87" s="10" t="s">
        <v>23</v>
      </c>
      <c r="D87" s="10" t="s">
        <v>35</v>
      </c>
      <c r="E87" s="11" t="s">
        <v>249</v>
      </c>
      <c r="F87" s="1" t="n">
        <v>362.53</v>
      </c>
      <c r="G87" s="13" t="s">
        <v>118</v>
      </c>
      <c r="H87" s="10" t="n">
        <f aca="false">SUM(I87,N87)/2</f>
        <v>0.721249017857143</v>
      </c>
      <c r="I87" s="10" t="n">
        <f aca="false">SUM(J87:M87)/4</f>
        <v>0.73160175</v>
      </c>
      <c r="J87" s="1" t="n">
        <v>0.838541</v>
      </c>
      <c r="K87" s="1" t="n">
        <v>0.809279</v>
      </c>
      <c r="L87" s="1" t="n">
        <v>0.319636</v>
      </c>
      <c r="M87" s="1" t="n">
        <v>0.958951</v>
      </c>
      <c r="N87" s="10" t="n">
        <f aca="false">SUM(O87:U87)/7</f>
        <v>0.710896285714286</v>
      </c>
      <c r="O87" s="1" t="n">
        <v>0.691205</v>
      </c>
      <c r="P87" s="1" t="n">
        <v>0.505425</v>
      </c>
      <c r="Q87" s="1" t="n">
        <v>0.584251</v>
      </c>
      <c r="R87" s="1" t="n">
        <v>0.685993</v>
      </c>
      <c r="S87" s="1" t="n">
        <v>0.638064</v>
      </c>
      <c r="T87" s="1" t="n">
        <v>0.986544</v>
      </c>
      <c r="U87" s="1" t="n">
        <v>0.884792</v>
      </c>
    </row>
    <row r="88" customFormat="false" ht="14.25" hidden="false" customHeight="false" outlineLevel="0" collapsed="false">
      <c r="A88" s="1" t="s">
        <v>115</v>
      </c>
      <c r="B88" s="9" t="s">
        <v>244</v>
      </c>
      <c r="C88" s="10" t="s">
        <v>23</v>
      </c>
      <c r="D88" s="10" t="s">
        <v>24</v>
      </c>
      <c r="E88" s="11" t="s">
        <v>250</v>
      </c>
      <c r="F88" s="1" t="n">
        <v>332.76</v>
      </c>
      <c r="G88" s="13" t="s">
        <v>118</v>
      </c>
      <c r="H88" s="10" t="n">
        <f aca="false">SUM(I88,N88)/2</f>
        <v>0.721173071428572</v>
      </c>
      <c r="I88" s="10" t="n">
        <f aca="false">SUM(J88:M88)/4</f>
        <v>0.722998</v>
      </c>
      <c r="J88" s="1" t="n">
        <v>0.822934</v>
      </c>
      <c r="K88" s="1" t="n">
        <v>0.806535</v>
      </c>
      <c r="L88" s="1" t="n">
        <v>0.306237</v>
      </c>
      <c r="M88" s="1" t="n">
        <v>0.956286</v>
      </c>
      <c r="N88" s="10" t="n">
        <f aca="false">SUM(O88:U88)/7</f>
        <v>0.719348142857143</v>
      </c>
      <c r="O88" s="1" t="n">
        <v>0.749703</v>
      </c>
      <c r="P88" s="1" t="n">
        <v>0.588853</v>
      </c>
      <c r="Q88" s="1" t="n">
        <v>0.605608</v>
      </c>
      <c r="R88" s="1" t="n">
        <v>0.60914</v>
      </c>
      <c r="S88" s="1" t="n">
        <v>0.605338</v>
      </c>
      <c r="T88" s="1" t="n">
        <v>0.995243</v>
      </c>
      <c r="U88" s="1" t="n">
        <v>0.881552</v>
      </c>
    </row>
    <row r="89" customFormat="false" ht="14.25" hidden="false" customHeight="false" outlineLevel="0" collapsed="false">
      <c r="A89" s="1" t="s">
        <v>115</v>
      </c>
      <c r="B89" s="9" t="s">
        <v>210</v>
      </c>
      <c r="C89" s="10" t="s">
        <v>23</v>
      </c>
      <c r="D89" s="10" t="s">
        <v>24</v>
      </c>
      <c r="E89" s="11" t="s">
        <v>251</v>
      </c>
      <c r="F89" s="1" t="n">
        <v>334.88</v>
      </c>
      <c r="G89" s="13" t="s">
        <v>118</v>
      </c>
      <c r="H89" s="10" t="n">
        <f aca="false">SUM(I89,N89)/2</f>
        <v>0.720988482142857</v>
      </c>
      <c r="I89" s="10" t="n">
        <f aca="false">SUM(J89:M89)/4</f>
        <v>0.73264825</v>
      </c>
      <c r="J89" s="1" t="n">
        <v>0.80692</v>
      </c>
      <c r="K89" s="1" t="n">
        <v>0.842148</v>
      </c>
      <c r="L89" s="1" t="n">
        <v>0.320501</v>
      </c>
      <c r="M89" s="1" t="n">
        <v>0.961024</v>
      </c>
      <c r="N89" s="10" t="n">
        <f aca="false">SUM(O89:U89)/7</f>
        <v>0.709328714285714</v>
      </c>
      <c r="O89" s="1" t="n">
        <v>0.696848</v>
      </c>
      <c r="P89" s="1" t="n">
        <v>0.498683</v>
      </c>
      <c r="Q89" s="1" t="n">
        <v>0.583421</v>
      </c>
      <c r="R89" s="1" t="n">
        <v>0.716766</v>
      </c>
      <c r="S89" s="1" t="n">
        <v>0.617725</v>
      </c>
      <c r="T89" s="1" t="n">
        <v>0.985594</v>
      </c>
      <c r="U89" s="1" t="n">
        <v>0.866264</v>
      </c>
    </row>
    <row r="90" customFormat="false" ht="14.25" hidden="false" customHeight="false" outlineLevel="0" collapsed="false">
      <c r="A90" s="1" t="s">
        <v>115</v>
      </c>
      <c r="B90" s="9" t="s">
        <v>181</v>
      </c>
      <c r="C90" s="10" t="s">
        <v>23</v>
      </c>
      <c r="D90" s="10" t="s">
        <v>35</v>
      </c>
      <c r="E90" s="11" t="s">
        <v>252</v>
      </c>
      <c r="F90" s="1" t="n">
        <v>426.95</v>
      </c>
      <c r="G90" s="13" t="s">
        <v>118</v>
      </c>
      <c r="H90" s="10" t="n">
        <f aca="false">SUM(I90,N90)/2</f>
        <v>0.719235410714286</v>
      </c>
      <c r="I90" s="10" t="n">
        <f aca="false">SUM(J90:M90)/4</f>
        <v>0.68160725</v>
      </c>
      <c r="J90" s="1" t="n">
        <v>0.820218</v>
      </c>
      <c r="K90" s="1" t="n">
        <v>0.705204</v>
      </c>
      <c r="L90" s="1" t="n">
        <v>0.295411</v>
      </c>
      <c r="M90" s="1" t="n">
        <v>0.905596</v>
      </c>
      <c r="N90" s="10" t="n">
        <f aca="false">SUM(O90:U90)/7</f>
        <v>0.756863571428571</v>
      </c>
      <c r="O90" s="1" t="n">
        <v>0.763365</v>
      </c>
      <c r="P90" s="1" t="n">
        <v>0.607724</v>
      </c>
      <c r="Q90" s="1" t="n">
        <v>0.593866</v>
      </c>
      <c r="R90" s="1" t="n">
        <v>0.82096</v>
      </c>
      <c r="S90" s="1" t="n">
        <v>0.647911</v>
      </c>
      <c r="T90" s="1" t="n">
        <v>0.9946</v>
      </c>
      <c r="U90" s="1" t="n">
        <v>0.869619</v>
      </c>
    </row>
    <row r="91" customFormat="false" ht="14.25" hidden="false" customHeight="false" outlineLevel="0" collapsed="false">
      <c r="A91" s="1" t="s">
        <v>115</v>
      </c>
      <c r="B91" s="9" t="s">
        <v>199</v>
      </c>
      <c r="C91" s="10" t="s">
        <v>23</v>
      </c>
      <c r="D91" s="10" t="s">
        <v>35</v>
      </c>
      <c r="E91" s="11" t="s">
        <v>253</v>
      </c>
      <c r="F91" s="1" t="n">
        <v>436.12</v>
      </c>
      <c r="G91" s="13" t="s">
        <v>118</v>
      </c>
      <c r="H91" s="10" t="n">
        <f aca="false">SUM(I91,N91)/2</f>
        <v>0.718934625</v>
      </c>
      <c r="I91" s="10" t="n">
        <f aca="false">SUM(J91:M91)/4</f>
        <v>0.70832225</v>
      </c>
      <c r="J91" s="1" t="n">
        <v>0.812758</v>
      </c>
      <c r="K91" s="1" t="n">
        <v>0.759046</v>
      </c>
      <c r="L91" s="1" t="n">
        <v>0.300733</v>
      </c>
      <c r="M91" s="1" t="n">
        <v>0.960752</v>
      </c>
      <c r="N91" s="10" t="n">
        <f aca="false">SUM(O91:U91)/7</f>
        <v>0.729547</v>
      </c>
      <c r="O91" s="1" t="n">
        <v>0.737608</v>
      </c>
      <c r="P91" s="1" t="n">
        <v>0.580538</v>
      </c>
      <c r="Q91" s="1" t="n">
        <v>0.574557</v>
      </c>
      <c r="R91" s="1" t="n">
        <v>0.738537</v>
      </c>
      <c r="S91" s="1" t="n">
        <v>0.618357</v>
      </c>
      <c r="T91" s="1" t="n">
        <v>0.995262</v>
      </c>
      <c r="U91" s="1" t="n">
        <v>0.86197</v>
      </c>
    </row>
    <row r="92" customFormat="false" ht="14.25" hidden="false" customHeight="false" outlineLevel="0" collapsed="false">
      <c r="A92" s="1" t="s">
        <v>115</v>
      </c>
      <c r="B92" s="9" t="s">
        <v>254</v>
      </c>
      <c r="C92" s="10" t="s">
        <v>23</v>
      </c>
      <c r="D92" s="10" t="s">
        <v>24</v>
      </c>
      <c r="E92" s="11" t="s">
        <v>255</v>
      </c>
      <c r="F92" s="1" t="n">
        <v>296.28</v>
      </c>
      <c r="G92" s="13" t="s">
        <v>118</v>
      </c>
      <c r="H92" s="10" t="n">
        <f aca="false">SUM(I92,N92)/2</f>
        <v>0.714009785714286</v>
      </c>
      <c r="I92" s="10" t="n">
        <f aca="false">SUM(J92:M92)/4</f>
        <v>0.715009</v>
      </c>
      <c r="J92" s="1" t="n">
        <v>0.814563</v>
      </c>
      <c r="K92" s="1" t="n">
        <v>0.790414</v>
      </c>
      <c r="L92" s="1" t="n">
        <v>0.31165</v>
      </c>
      <c r="M92" s="1" t="n">
        <v>0.943409</v>
      </c>
      <c r="N92" s="10" t="n">
        <f aca="false">SUM(O92:U92)/7</f>
        <v>0.713010571428572</v>
      </c>
      <c r="O92" s="1" t="n">
        <v>0.714512</v>
      </c>
      <c r="P92" s="1" t="n">
        <v>0.54796</v>
      </c>
      <c r="Q92" s="1" t="n">
        <v>0.574988</v>
      </c>
      <c r="R92" s="1" t="n">
        <v>0.667457</v>
      </c>
      <c r="S92" s="1" t="n">
        <v>0.620928</v>
      </c>
      <c r="T92" s="1" t="n">
        <v>0.984402</v>
      </c>
      <c r="U92" s="1" t="n">
        <v>0.880827</v>
      </c>
    </row>
    <row r="93" customFormat="false" ht="14.25" hidden="false" customHeight="false" outlineLevel="0" collapsed="false">
      <c r="A93" s="1" t="s">
        <v>115</v>
      </c>
      <c r="B93" s="9" t="s">
        <v>256</v>
      </c>
      <c r="C93" s="10" t="s">
        <v>23</v>
      </c>
      <c r="D93" s="10" t="s">
        <v>24</v>
      </c>
      <c r="E93" s="11" t="s">
        <v>257</v>
      </c>
      <c r="F93" s="1" t="n">
        <v>337.57</v>
      </c>
      <c r="G93" s="13" t="s">
        <v>118</v>
      </c>
      <c r="H93" s="10" t="n">
        <f aca="false">SUM(I93,N93)/2</f>
        <v>0.712175821428571</v>
      </c>
      <c r="I93" s="10" t="n">
        <f aca="false">SUM(J93:M93)/4</f>
        <v>0.7274495</v>
      </c>
      <c r="J93" s="1" t="n">
        <v>0.807459</v>
      </c>
      <c r="K93" s="1" t="n">
        <v>0.827561</v>
      </c>
      <c r="L93" s="1" t="n">
        <v>0.325212</v>
      </c>
      <c r="M93" s="1" t="n">
        <v>0.949566</v>
      </c>
      <c r="N93" s="10" t="n">
        <f aca="false">SUM(O93:U93)/7</f>
        <v>0.696902142857143</v>
      </c>
      <c r="O93" s="1" t="n">
        <v>0.685189</v>
      </c>
      <c r="P93" s="1" t="n">
        <v>0.481059</v>
      </c>
      <c r="Q93" s="1" t="n">
        <v>0.589879</v>
      </c>
      <c r="R93" s="1" t="n">
        <v>0.642295</v>
      </c>
      <c r="S93" s="1" t="n">
        <v>0.614025</v>
      </c>
      <c r="T93" s="1" t="n">
        <v>0.986657</v>
      </c>
      <c r="U93" s="1" t="n">
        <v>0.879211</v>
      </c>
    </row>
    <row r="94" customFormat="false" ht="14.25" hidden="false" customHeight="false" outlineLevel="0" collapsed="false">
      <c r="A94" s="1" t="s">
        <v>115</v>
      </c>
      <c r="B94" s="9" t="s">
        <v>258</v>
      </c>
      <c r="C94" s="10" t="s">
        <v>23</v>
      </c>
      <c r="D94" s="10" t="s">
        <v>24</v>
      </c>
      <c r="E94" s="11" t="s">
        <v>259</v>
      </c>
      <c r="F94" s="1" t="n">
        <v>496.67</v>
      </c>
      <c r="G94" s="13" t="s">
        <v>118</v>
      </c>
      <c r="H94" s="10" t="n">
        <f aca="false">SUM(I94,N94)/2</f>
        <v>0.710393946428572</v>
      </c>
      <c r="I94" s="10" t="n">
        <f aca="false">SUM(J94:M94)/4</f>
        <v>0.71924275</v>
      </c>
      <c r="J94" s="1" t="n">
        <v>0.817143</v>
      </c>
      <c r="K94" s="1" t="n">
        <v>0.799201</v>
      </c>
      <c r="L94" s="1" t="n">
        <v>0.320663</v>
      </c>
      <c r="M94" s="1" t="n">
        <v>0.939964</v>
      </c>
      <c r="N94" s="10" t="n">
        <f aca="false">SUM(O94:U94)/7</f>
        <v>0.701545142857143</v>
      </c>
      <c r="O94" s="1" t="n">
        <v>0.681471</v>
      </c>
      <c r="P94" s="1" t="n">
        <v>0.47956</v>
      </c>
      <c r="Q94" s="1" t="n">
        <v>0.579689</v>
      </c>
      <c r="R94" s="1" t="n">
        <v>0.693884</v>
      </c>
      <c r="S94" s="1" t="n">
        <v>0.607405</v>
      </c>
      <c r="T94" s="1" t="n">
        <v>0.984889</v>
      </c>
      <c r="U94" s="1" t="n">
        <v>0.883918</v>
      </c>
    </row>
    <row r="95" customFormat="false" ht="14.25" hidden="false" customHeight="false" outlineLevel="0" collapsed="false">
      <c r="A95" s="1" t="s">
        <v>115</v>
      </c>
      <c r="B95" s="9" t="s">
        <v>260</v>
      </c>
      <c r="C95" s="10" t="s">
        <v>23</v>
      </c>
      <c r="D95" s="10" t="s">
        <v>35</v>
      </c>
      <c r="E95" s="11" t="s">
        <v>261</v>
      </c>
      <c r="F95" s="1" t="n">
        <v>427.09</v>
      </c>
      <c r="G95" s="13" t="s">
        <v>118</v>
      </c>
      <c r="H95" s="10" t="n">
        <f aca="false">SUM(I95,N95)/2</f>
        <v>0.709301964285714</v>
      </c>
      <c r="I95" s="10" t="n">
        <f aca="false">SUM(J95:M95)/4</f>
        <v>0.7253335</v>
      </c>
      <c r="J95" s="1" t="n">
        <v>0.811544</v>
      </c>
      <c r="K95" s="1" t="n">
        <v>0.839706</v>
      </c>
      <c r="L95" s="1" t="n">
        <v>0.316178</v>
      </c>
      <c r="M95" s="1" t="n">
        <v>0.933906</v>
      </c>
      <c r="N95" s="10" t="n">
        <f aca="false">SUM(O95:U95)/7</f>
        <v>0.693270428571429</v>
      </c>
      <c r="O95" s="1" t="n">
        <v>0.724192</v>
      </c>
      <c r="P95" s="1" t="n">
        <v>0.568814</v>
      </c>
      <c r="Q95" s="1" t="n">
        <v>0.575398</v>
      </c>
      <c r="R95" s="1" t="n">
        <v>0.707963</v>
      </c>
      <c r="S95" s="1" t="n">
        <v>0.617334</v>
      </c>
      <c r="T95" s="1" t="n">
        <v>0.989814</v>
      </c>
      <c r="U95" s="1" t="n">
        <v>0.669378</v>
      </c>
    </row>
    <row r="96" customFormat="false" ht="14.25" hidden="false" customHeight="false" outlineLevel="0" collapsed="false">
      <c r="A96" s="1" t="s">
        <v>115</v>
      </c>
      <c r="B96" s="9" t="s">
        <v>240</v>
      </c>
      <c r="C96" s="10" t="s">
        <v>23</v>
      </c>
      <c r="D96" s="10" t="s">
        <v>35</v>
      </c>
      <c r="E96" s="11" t="s">
        <v>262</v>
      </c>
      <c r="F96" s="1" t="n">
        <v>536.29</v>
      </c>
      <c r="G96" s="13" t="s">
        <v>118</v>
      </c>
      <c r="H96" s="10" t="n">
        <f aca="false">SUM(I96,N96)/2</f>
        <v>0.709039446428571</v>
      </c>
      <c r="I96" s="10" t="n">
        <f aca="false">SUM(J96:M96)/4</f>
        <v>0.73022475</v>
      </c>
      <c r="J96" s="1" t="n">
        <v>0.83816</v>
      </c>
      <c r="K96" s="1" t="n">
        <v>0.810405</v>
      </c>
      <c r="L96" s="1" t="n">
        <v>0.323258</v>
      </c>
      <c r="M96" s="1" t="n">
        <v>0.949076</v>
      </c>
      <c r="N96" s="10" t="n">
        <f aca="false">SUM(O96:U96)/7</f>
        <v>0.687854142857143</v>
      </c>
      <c r="O96" s="1" t="n">
        <v>0.691954</v>
      </c>
      <c r="P96" s="1" t="n">
        <v>0.524449</v>
      </c>
      <c r="Q96" s="1" t="n">
        <v>0.571463</v>
      </c>
      <c r="R96" s="1" t="n">
        <v>0.592715</v>
      </c>
      <c r="S96" s="1" t="n">
        <v>0.592906</v>
      </c>
      <c r="T96" s="1" t="n">
        <v>0.983495</v>
      </c>
      <c r="U96" s="1" t="n">
        <v>0.857997</v>
      </c>
    </row>
    <row r="97" customFormat="false" ht="14.25" hidden="false" customHeight="false" outlineLevel="0" collapsed="false">
      <c r="A97" s="1" t="s">
        <v>115</v>
      </c>
      <c r="B97" s="9" t="s">
        <v>254</v>
      </c>
      <c r="C97" s="10" t="s">
        <v>23</v>
      </c>
      <c r="D97" s="10" t="s">
        <v>35</v>
      </c>
      <c r="E97" s="11" t="s">
        <v>263</v>
      </c>
      <c r="F97" s="1" t="n">
        <v>405.86</v>
      </c>
      <c r="G97" s="13" t="s">
        <v>118</v>
      </c>
      <c r="H97" s="10" t="n">
        <f aca="false">SUM(I97,N97)/2</f>
        <v>0.706095714285714</v>
      </c>
      <c r="I97" s="10" t="n">
        <f aca="false">SUM(J97:M97)/4</f>
        <v>0.723354</v>
      </c>
      <c r="J97" s="1" t="n">
        <v>0.832479</v>
      </c>
      <c r="K97" s="1" t="n">
        <v>0.789395</v>
      </c>
      <c r="L97" s="1" t="n">
        <v>0.321424</v>
      </c>
      <c r="M97" s="1" t="n">
        <v>0.950118</v>
      </c>
      <c r="N97" s="10" t="n">
        <f aca="false">SUM(O97:U97)/7</f>
        <v>0.688837428571429</v>
      </c>
      <c r="O97" s="1" t="n">
        <v>0.700364</v>
      </c>
      <c r="P97" s="1" t="n">
        <v>0.530524</v>
      </c>
      <c r="Q97" s="1" t="n">
        <v>0.559901</v>
      </c>
      <c r="R97" s="1" t="n">
        <v>0.590223</v>
      </c>
      <c r="S97" s="1" t="n">
        <v>0.576783</v>
      </c>
      <c r="T97" s="1" t="n">
        <v>0.983125</v>
      </c>
      <c r="U97" s="1" t="n">
        <v>0.880942</v>
      </c>
    </row>
    <row r="98" customFormat="false" ht="14.25" hidden="false" customHeight="false" outlineLevel="0" collapsed="false">
      <c r="A98" s="1" t="s">
        <v>115</v>
      </c>
      <c r="B98" s="9" t="s">
        <v>264</v>
      </c>
      <c r="C98" s="10" t="s">
        <v>23</v>
      </c>
      <c r="D98" s="10" t="s">
        <v>24</v>
      </c>
      <c r="E98" s="11" t="s">
        <v>265</v>
      </c>
      <c r="G98" s="13" t="s">
        <v>118</v>
      </c>
      <c r="H98" s="10" t="n">
        <f aca="false">SUM(I98,N98)/2</f>
        <v>0.703809392857143</v>
      </c>
      <c r="I98" s="10" t="n">
        <f aca="false">SUM(J98:M98)/4</f>
        <v>0.7232075</v>
      </c>
      <c r="J98" s="1" t="n">
        <v>0.813948</v>
      </c>
      <c r="K98" s="1" t="n">
        <v>0.824569</v>
      </c>
      <c r="L98" s="1" t="n">
        <v>0.30858</v>
      </c>
      <c r="M98" s="1" t="n">
        <v>0.945733</v>
      </c>
      <c r="N98" s="10" t="n">
        <f aca="false">SUM(O98:U98)/7</f>
        <v>0.684411285714286</v>
      </c>
      <c r="O98" s="1" t="n">
        <v>0.71517</v>
      </c>
      <c r="P98" s="1" t="n">
        <v>0.519446</v>
      </c>
      <c r="Q98" s="1" t="n">
        <v>0.59763</v>
      </c>
      <c r="R98" s="1" t="n">
        <v>0.724074</v>
      </c>
      <c r="S98" s="1" t="n">
        <v>0.641698</v>
      </c>
      <c r="T98" s="1" t="n">
        <v>0.992376</v>
      </c>
      <c r="U98" s="1" t="n">
        <v>0.600485</v>
      </c>
    </row>
    <row r="99" customFormat="false" ht="14.25" hidden="false" customHeight="false" outlineLevel="0" collapsed="false">
      <c r="A99" s="1" t="s">
        <v>115</v>
      </c>
      <c r="B99" s="9" t="s">
        <v>266</v>
      </c>
      <c r="C99" s="10" t="s">
        <v>23</v>
      </c>
      <c r="D99" s="10" t="s">
        <v>35</v>
      </c>
      <c r="E99" s="11" t="s">
        <v>267</v>
      </c>
      <c r="F99" s="1" t="n">
        <v>418.69</v>
      </c>
      <c r="G99" s="13" t="s">
        <v>118</v>
      </c>
      <c r="H99" s="10" t="n">
        <f aca="false">SUM(I99,N99)/2</f>
        <v>0.703781839285714</v>
      </c>
      <c r="I99" s="10" t="n">
        <f aca="false">SUM(J99:M99)/4</f>
        <v>0.72537325</v>
      </c>
      <c r="J99" s="1" t="n">
        <v>0.816339</v>
      </c>
      <c r="K99" s="1" t="n">
        <v>0.842089</v>
      </c>
      <c r="L99" s="1" t="n">
        <v>0.314056</v>
      </c>
      <c r="M99" s="1" t="n">
        <v>0.929009</v>
      </c>
      <c r="N99" s="10" t="n">
        <f aca="false">SUM(O99:U99)/7</f>
        <v>0.682190428571429</v>
      </c>
      <c r="O99" s="1" t="n">
        <v>0.682689</v>
      </c>
      <c r="P99" s="1" t="n">
        <v>0.468903</v>
      </c>
      <c r="Q99" s="1" t="n">
        <v>0.569102</v>
      </c>
      <c r="R99" s="1" t="n">
        <v>0.590802</v>
      </c>
      <c r="S99" s="1" t="n">
        <v>0.591948</v>
      </c>
      <c r="T99" s="1" t="n">
        <v>0.987861</v>
      </c>
      <c r="U99" s="1" t="n">
        <v>0.884028</v>
      </c>
    </row>
    <row r="100" customFormat="false" ht="14.25" hidden="false" customHeight="false" outlineLevel="0" collapsed="false">
      <c r="A100" s="1" t="s">
        <v>115</v>
      </c>
      <c r="B100" s="9" t="s">
        <v>242</v>
      </c>
      <c r="C100" s="10" t="s">
        <v>23</v>
      </c>
      <c r="D100" s="10" t="s">
        <v>35</v>
      </c>
      <c r="E100" s="11" t="s">
        <v>268</v>
      </c>
      <c r="F100" s="1" t="n">
        <v>385.09</v>
      </c>
      <c r="G100" s="13" t="s">
        <v>118</v>
      </c>
      <c r="H100" s="10" t="n">
        <f aca="false">SUM(I100,N100)/2</f>
        <v>0.702130785714286</v>
      </c>
      <c r="I100" s="10" t="n">
        <f aca="false">SUM(J100:M100)/4</f>
        <v>0.720616</v>
      </c>
      <c r="J100" s="1" t="n">
        <v>0.835404</v>
      </c>
      <c r="K100" s="1" t="n">
        <v>0.777751</v>
      </c>
      <c r="L100" s="1" t="n">
        <v>0.316109</v>
      </c>
      <c r="M100" s="1" t="n">
        <v>0.9532</v>
      </c>
      <c r="N100" s="10" t="n">
        <f aca="false">SUM(O100:U100)/7</f>
        <v>0.683645571428571</v>
      </c>
      <c r="O100" s="1" t="n">
        <v>0.663024</v>
      </c>
      <c r="P100" s="1" t="n">
        <v>0.465947</v>
      </c>
      <c r="Q100" s="1" t="n">
        <v>0.573629</v>
      </c>
      <c r="R100" s="1" t="n">
        <v>0.613009</v>
      </c>
      <c r="S100" s="1" t="n">
        <v>0.605681</v>
      </c>
      <c r="T100" s="1" t="n">
        <v>0.982994</v>
      </c>
      <c r="U100" s="1" t="n">
        <v>0.881235</v>
      </c>
    </row>
    <row r="101" customFormat="false" ht="14.25" hidden="false" customHeight="false" outlineLevel="0" collapsed="false">
      <c r="A101" s="1" t="s">
        <v>115</v>
      </c>
      <c r="B101" s="9" t="s">
        <v>258</v>
      </c>
      <c r="C101" s="10" t="s">
        <v>23</v>
      </c>
      <c r="D101" s="10" t="s">
        <v>35</v>
      </c>
      <c r="E101" s="11" t="s">
        <v>269</v>
      </c>
      <c r="F101" s="1" t="n">
        <v>436.78</v>
      </c>
      <c r="G101" s="13" t="s">
        <v>118</v>
      </c>
      <c r="H101" s="10" t="n">
        <f aca="false">SUM(I101,N101)/2</f>
        <v>0.698946821428572</v>
      </c>
      <c r="I101" s="10" t="n">
        <f aca="false">SUM(J101:M101)/4</f>
        <v>0.7152265</v>
      </c>
      <c r="J101" s="1" t="n">
        <v>0.830008</v>
      </c>
      <c r="K101" s="1" t="n">
        <v>0.762313</v>
      </c>
      <c r="L101" s="1" t="n">
        <v>0.325749</v>
      </c>
      <c r="M101" s="1" t="n">
        <v>0.942836</v>
      </c>
      <c r="N101" s="10" t="n">
        <f aca="false">SUM(O101:U101)/7</f>
        <v>0.682667142857143</v>
      </c>
      <c r="O101" s="1" t="n">
        <v>0.692475</v>
      </c>
      <c r="P101" s="1" t="n">
        <v>0.519896</v>
      </c>
      <c r="Q101" s="1" t="n">
        <v>0.54971</v>
      </c>
      <c r="R101" s="1" t="n">
        <v>0.581313</v>
      </c>
      <c r="S101" s="1" t="n">
        <v>0.574399</v>
      </c>
      <c r="T101" s="1" t="n">
        <v>0.979722</v>
      </c>
      <c r="U101" s="1" t="n">
        <v>0.881155</v>
      </c>
    </row>
    <row r="102" customFormat="false" ht="14.25" hidden="false" customHeight="false" outlineLevel="0" collapsed="false">
      <c r="A102" s="1" t="s">
        <v>115</v>
      </c>
      <c r="B102" s="9" t="s">
        <v>270</v>
      </c>
      <c r="C102" s="10" t="s">
        <v>23</v>
      </c>
      <c r="D102" s="10" t="s">
        <v>24</v>
      </c>
      <c r="E102" s="11" t="s">
        <v>271</v>
      </c>
      <c r="F102" s="1" t="n">
        <v>389.32</v>
      </c>
      <c r="G102" s="13" t="s">
        <v>118</v>
      </c>
      <c r="H102" s="10" t="n">
        <f aca="false">SUM(I102,N102)/2</f>
        <v>0.698830928571429</v>
      </c>
      <c r="I102" s="10" t="n">
        <f aca="false">SUM(J102:M102)/4</f>
        <v>0.713608</v>
      </c>
      <c r="J102" s="1" t="n">
        <v>0.824623</v>
      </c>
      <c r="K102" s="1" t="n">
        <v>0.777057</v>
      </c>
      <c r="L102" s="1" t="n">
        <v>0.322009</v>
      </c>
      <c r="M102" s="1" t="n">
        <v>0.930743</v>
      </c>
      <c r="N102" s="10" t="n">
        <f aca="false">SUM(O102:U102)/7</f>
        <v>0.684053857142857</v>
      </c>
      <c r="O102" s="1" t="n">
        <v>0.673556</v>
      </c>
      <c r="P102" s="1" t="n">
        <v>0.457351</v>
      </c>
      <c r="Q102" s="1" t="n">
        <v>0.574244</v>
      </c>
      <c r="R102" s="1" t="n">
        <v>0.630903</v>
      </c>
      <c r="S102" s="1" t="n">
        <v>0.581931</v>
      </c>
      <c r="T102" s="1" t="n">
        <v>0.983548</v>
      </c>
      <c r="U102" s="1" t="n">
        <v>0.886844</v>
      </c>
    </row>
    <row r="103" customFormat="false" ht="14.25" hidden="false" customHeight="false" outlineLevel="0" collapsed="false">
      <c r="A103" s="1" t="s">
        <v>115</v>
      </c>
      <c r="B103" s="9" t="s">
        <v>260</v>
      </c>
      <c r="C103" s="10" t="s">
        <v>23</v>
      </c>
      <c r="D103" s="10" t="s">
        <v>24</v>
      </c>
      <c r="E103" s="11" t="s">
        <v>272</v>
      </c>
      <c r="F103" s="1" t="n">
        <v>346.37</v>
      </c>
      <c r="G103" s="13" t="s">
        <v>118</v>
      </c>
      <c r="H103" s="10" t="n">
        <f aca="false">SUM(I103,N103)/2</f>
        <v>0.696668678571429</v>
      </c>
      <c r="I103" s="10" t="n">
        <f aca="false">SUM(J103:M103)/4</f>
        <v>0.7236595</v>
      </c>
      <c r="J103" s="1" t="n">
        <v>0.793527</v>
      </c>
      <c r="K103" s="1" t="n">
        <v>0.859608</v>
      </c>
      <c r="L103" s="1" t="n">
        <v>0.311109</v>
      </c>
      <c r="M103" s="1" t="n">
        <v>0.930394</v>
      </c>
      <c r="N103" s="10" t="n">
        <f aca="false">SUM(O103:U103)/7</f>
        <v>0.669677857142857</v>
      </c>
      <c r="O103" s="1" t="n">
        <v>0.734835</v>
      </c>
      <c r="P103" s="1" t="n">
        <v>0.515866</v>
      </c>
      <c r="Q103" s="1" t="n">
        <v>0.610519</v>
      </c>
      <c r="R103" s="1" t="n">
        <v>0.726005</v>
      </c>
      <c r="S103" s="1" t="n">
        <v>0.643149</v>
      </c>
      <c r="T103" s="1" t="n">
        <v>0.995339</v>
      </c>
      <c r="U103" s="1" t="n">
        <v>0.462032</v>
      </c>
    </row>
    <row r="104" customFormat="false" ht="14.25" hidden="false" customHeight="false" outlineLevel="0" collapsed="false">
      <c r="A104" s="1" t="s">
        <v>115</v>
      </c>
      <c r="B104" s="9" t="s">
        <v>273</v>
      </c>
      <c r="C104" s="10" t="s">
        <v>23</v>
      </c>
      <c r="D104" s="10" t="s">
        <v>24</v>
      </c>
      <c r="E104" s="11" t="s">
        <v>274</v>
      </c>
      <c r="F104" s="1" t="n">
        <v>287.25</v>
      </c>
      <c r="G104" s="13" t="s">
        <v>118</v>
      </c>
      <c r="H104" s="10" t="n">
        <f aca="false">SUM(I104,N104)/2</f>
        <v>0.693576089285714</v>
      </c>
      <c r="I104" s="10" t="n">
        <f aca="false">SUM(J104:M104)/4</f>
        <v>0.72776775</v>
      </c>
      <c r="J104" s="1" t="n">
        <v>0.828314</v>
      </c>
      <c r="K104" s="1" t="n">
        <v>0.802038</v>
      </c>
      <c r="L104" s="1" t="n">
        <v>0.312448</v>
      </c>
      <c r="M104" s="1" t="n">
        <v>0.968271</v>
      </c>
      <c r="N104" s="10" t="n">
        <f aca="false">SUM(O104:U104)/7</f>
        <v>0.659384428571429</v>
      </c>
      <c r="O104" s="1" t="n">
        <v>0.726367</v>
      </c>
      <c r="P104" s="1" t="n">
        <v>0.538092</v>
      </c>
      <c r="Q104" s="1" t="n">
        <v>0.582715</v>
      </c>
      <c r="R104" s="1" t="n">
        <v>0.730648</v>
      </c>
      <c r="S104" s="1" t="n">
        <v>0.639704</v>
      </c>
      <c r="T104" s="1" t="n">
        <v>0.988396</v>
      </c>
      <c r="U104" s="1" t="n">
        <v>0.409769</v>
      </c>
    </row>
    <row r="105" customFormat="false" ht="14.25" hidden="false" customHeight="false" outlineLevel="0" collapsed="false">
      <c r="A105" s="1" t="s">
        <v>115</v>
      </c>
      <c r="B105" s="9" t="s">
        <v>228</v>
      </c>
      <c r="C105" s="10" t="s">
        <v>23</v>
      </c>
      <c r="D105" s="10" t="s">
        <v>35</v>
      </c>
      <c r="E105" s="11" t="s">
        <v>275</v>
      </c>
      <c r="F105" s="1" t="n">
        <v>424.5</v>
      </c>
      <c r="G105" s="13" t="s">
        <v>118</v>
      </c>
      <c r="H105" s="10" t="n">
        <f aca="false">SUM(I105,N105)/2</f>
        <v>0.692310553571429</v>
      </c>
      <c r="I105" s="10" t="n">
        <f aca="false">SUM(J105:M105)/4</f>
        <v>0.72025825</v>
      </c>
      <c r="J105" s="1" t="n">
        <v>0.792942</v>
      </c>
      <c r="K105" s="1" t="n">
        <v>0.873217</v>
      </c>
      <c r="L105" s="1" t="n">
        <v>0.314098</v>
      </c>
      <c r="M105" s="1" t="n">
        <v>0.900776</v>
      </c>
      <c r="N105" s="10" t="n">
        <f aca="false">SUM(O105:U105)/7</f>
        <v>0.664362857142857</v>
      </c>
      <c r="O105" s="1" t="n">
        <v>0.731719</v>
      </c>
      <c r="P105" s="1" t="n">
        <v>0.557883</v>
      </c>
      <c r="Q105" s="1" t="n">
        <v>0.598621</v>
      </c>
      <c r="R105" s="1" t="n">
        <v>0.707068</v>
      </c>
      <c r="S105" s="1" t="n">
        <v>0.607288</v>
      </c>
      <c r="T105" s="1" t="n">
        <v>0.994117</v>
      </c>
      <c r="U105" s="1" t="n">
        <v>0.453844</v>
      </c>
    </row>
    <row r="106" customFormat="false" ht="14.25" hidden="false" customHeight="false" outlineLevel="0" collapsed="false">
      <c r="A106" s="1" t="s">
        <v>115</v>
      </c>
      <c r="B106" s="9" t="s">
        <v>276</v>
      </c>
      <c r="C106" s="10" t="s">
        <v>23</v>
      </c>
      <c r="D106" s="10" t="s">
        <v>35</v>
      </c>
      <c r="E106" s="11" t="s">
        <v>277</v>
      </c>
      <c r="F106" s="1" t="n">
        <v>433.42</v>
      </c>
      <c r="G106" s="13" t="s">
        <v>118</v>
      </c>
      <c r="H106" s="10" t="n">
        <f aca="false">SUM(I106,N106)/2</f>
        <v>0.691522535714286</v>
      </c>
      <c r="I106" s="10" t="n">
        <f aca="false">SUM(J106:M106)/4</f>
        <v>0.7316745</v>
      </c>
      <c r="J106" s="1" t="n">
        <v>0.818463</v>
      </c>
      <c r="K106" s="1" t="n">
        <v>0.846969</v>
      </c>
      <c r="L106" s="1" t="n">
        <v>0.306481</v>
      </c>
      <c r="M106" s="1" t="n">
        <v>0.954785</v>
      </c>
      <c r="N106" s="10" t="n">
        <f aca="false">SUM(O106:U106)/7</f>
        <v>0.651370571428571</v>
      </c>
      <c r="O106" s="1" t="n">
        <v>0.709471</v>
      </c>
      <c r="P106" s="1" t="n">
        <v>0.481774</v>
      </c>
      <c r="Q106" s="1" t="n">
        <v>0.565251</v>
      </c>
      <c r="R106" s="1" t="n">
        <v>0.707787</v>
      </c>
      <c r="S106" s="1" t="n">
        <v>0.625403</v>
      </c>
      <c r="T106" s="1" t="n">
        <v>0.990187</v>
      </c>
      <c r="U106" s="1" t="n">
        <v>0.479721</v>
      </c>
    </row>
    <row r="107" customFormat="false" ht="14.25" hidden="false" customHeight="false" outlineLevel="0" collapsed="false">
      <c r="A107" s="1" t="s">
        <v>115</v>
      </c>
      <c r="B107" s="9" t="s">
        <v>278</v>
      </c>
      <c r="C107" s="10" t="s">
        <v>23</v>
      </c>
      <c r="D107" s="10" t="s">
        <v>24</v>
      </c>
      <c r="E107" s="11" t="s">
        <v>279</v>
      </c>
      <c r="F107" s="1" t="n">
        <v>341.01</v>
      </c>
      <c r="G107" s="13" t="s">
        <v>118</v>
      </c>
      <c r="H107" s="10" t="n">
        <f aca="false">SUM(I107,N107)/2</f>
        <v>0.688482464285714</v>
      </c>
      <c r="I107" s="10" t="n">
        <f aca="false">SUM(J107:M107)/4</f>
        <v>0.7158345</v>
      </c>
      <c r="J107" s="1" t="n">
        <v>0.801956</v>
      </c>
      <c r="K107" s="1" t="n">
        <v>0.821165</v>
      </c>
      <c r="L107" s="1" t="n">
        <v>0.315277</v>
      </c>
      <c r="M107" s="1" t="n">
        <v>0.92494</v>
      </c>
      <c r="N107" s="10" t="n">
        <f aca="false">SUM(O107:U107)/7</f>
        <v>0.661130428571429</v>
      </c>
      <c r="O107" s="1" t="n">
        <v>0.704877</v>
      </c>
      <c r="P107" s="1" t="n">
        <v>0.52938</v>
      </c>
      <c r="Q107" s="1" t="n">
        <v>0.587402</v>
      </c>
      <c r="R107" s="1" t="n">
        <v>0.715472</v>
      </c>
      <c r="S107" s="1" t="n">
        <v>0.614643</v>
      </c>
      <c r="T107" s="1" t="n">
        <v>0.990237</v>
      </c>
      <c r="U107" s="1" t="n">
        <v>0.485902</v>
      </c>
    </row>
    <row r="108" customFormat="false" ht="14.25" hidden="false" customHeight="false" outlineLevel="0" collapsed="false">
      <c r="A108" s="1" t="s">
        <v>115</v>
      </c>
      <c r="B108" s="9" t="s">
        <v>280</v>
      </c>
      <c r="C108" s="10" t="s">
        <v>23</v>
      </c>
      <c r="D108" s="10" t="s">
        <v>35</v>
      </c>
      <c r="E108" s="11" t="s">
        <v>281</v>
      </c>
      <c r="F108" s="1" t="n">
        <v>436.26</v>
      </c>
      <c r="G108" s="13" t="s">
        <v>118</v>
      </c>
      <c r="H108" s="10" t="n">
        <f aca="false">SUM(I108,N108)/2</f>
        <v>0.687886142857143</v>
      </c>
      <c r="I108" s="10" t="n">
        <f aca="false">SUM(J108:M108)/4</f>
        <v>0.733199</v>
      </c>
      <c r="J108" s="1" t="n">
        <v>0.81136</v>
      </c>
      <c r="K108" s="1" t="n">
        <v>0.89543</v>
      </c>
      <c r="L108" s="1" t="n">
        <v>0.315167</v>
      </c>
      <c r="M108" s="1" t="n">
        <v>0.910839</v>
      </c>
      <c r="N108" s="10" t="n">
        <f aca="false">SUM(O108:U108)/7</f>
        <v>0.642573285714286</v>
      </c>
      <c r="O108" s="1" t="n">
        <v>0.684625</v>
      </c>
      <c r="P108" s="1" t="n">
        <v>0.46493</v>
      </c>
      <c r="Q108" s="1" t="n">
        <v>0.555877</v>
      </c>
      <c r="R108" s="1" t="n">
        <v>0.648094</v>
      </c>
      <c r="S108" s="1" t="n">
        <v>0.627066</v>
      </c>
      <c r="T108" s="1" t="n">
        <v>0.988743</v>
      </c>
      <c r="U108" s="1" t="n">
        <v>0.528678</v>
      </c>
    </row>
    <row r="109" customFormat="false" ht="14.25" hidden="false" customHeight="false" outlineLevel="0" collapsed="false">
      <c r="A109" s="1" t="s">
        <v>115</v>
      </c>
      <c r="B109" s="9" t="s">
        <v>278</v>
      </c>
      <c r="C109" s="10" t="s">
        <v>23</v>
      </c>
      <c r="D109" s="10" t="s">
        <v>35</v>
      </c>
      <c r="E109" s="11" t="s">
        <v>282</v>
      </c>
      <c r="F109" s="1" t="n">
        <v>421.34</v>
      </c>
      <c r="G109" s="13" t="s">
        <v>118</v>
      </c>
      <c r="H109" s="10" t="n">
        <f aca="false">SUM(I109,N109)/2</f>
        <v>0.683883946428572</v>
      </c>
      <c r="I109" s="10" t="n">
        <f aca="false">SUM(J109:M109)/4</f>
        <v>0.70966775</v>
      </c>
      <c r="J109" s="1" t="n">
        <v>0.790659</v>
      </c>
      <c r="K109" s="1" t="n">
        <v>0.832361</v>
      </c>
      <c r="L109" s="1" t="n">
        <v>0.30394</v>
      </c>
      <c r="M109" s="1" t="n">
        <v>0.911711</v>
      </c>
      <c r="N109" s="10" t="n">
        <f aca="false">SUM(O109:U109)/7</f>
        <v>0.658100142857143</v>
      </c>
      <c r="O109" s="1" t="n">
        <v>0.717892</v>
      </c>
      <c r="P109" s="1" t="n">
        <v>0.548331</v>
      </c>
      <c r="Q109" s="1" t="n">
        <v>0.589577</v>
      </c>
      <c r="R109" s="1" t="n">
        <v>0.723263</v>
      </c>
      <c r="S109" s="1" t="n">
        <v>0.625337</v>
      </c>
      <c r="T109" s="1" t="n">
        <v>0.994721</v>
      </c>
      <c r="U109" s="1" t="n">
        <v>0.40758</v>
      </c>
    </row>
    <row r="110" customFormat="false" ht="14.25" hidden="false" customHeight="false" outlineLevel="0" collapsed="false">
      <c r="A110" s="1" t="s">
        <v>115</v>
      </c>
      <c r="B110" s="9" t="s">
        <v>283</v>
      </c>
      <c r="C110" s="10" t="s">
        <v>23</v>
      </c>
      <c r="D110" s="10" t="s">
        <v>24</v>
      </c>
      <c r="E110" s="11" t="s">
        <v>284</v>
      </c>
      <c r="F110" s="1" t="n">
        <v>318.31</v>
      </c>
      <c r="G110" s="13" t="s">
        <v>118</v>
      </c>
      <c r="H110" s="10" t="n">
        <f aca="false">SUM(I110,N110)/2</f>
        <v>0.679118071428571</v>
      </c>
      <c r="I110" s="10" t="n">
        <f aca="false">SUM(J110:M110)/4</f>
        <v>0.712293</v>
      </c>
      <c r="J110" s="1" t="n">
        <v>0.794431</v>
      </c>
      <c r="K110" s="1" t="n">
        <v>0.79825</v>
      </c>
      <c r="L110" s="1" t="n">
        <v>0.32144</v>
      </c>
      <c r="M110" s="1" t="n">
        <v>0.935051</v>
      </c>
      <c r="N110" s="10" t="n">
        <f aca="false">SUM(O110:U110)/7</f>
        <v>0.645943142857143</v>
      </c>
      <c r="O110" s="1" t="n">
        <v>0.688426</v>
      </c>
      <c r="P110" s="1" t="n">
        <v>0.457114</v>
      </c>
      <c r="Q110" s="1" t="n">
        <v>0.589168</v>
      </c>
      <c r="R110" s="1" t="n">
        <v>0.723122</v>
      </c>
      <c r="S110" s="1" t="n">
        <v>0.607342</v>
      </c>
      <c r="T110" s="1" t="n">
        <v>0.984518</v>
      </c>
      <c r="U110" s="1" t="n">
        <v>0.471912</v>
      </c>
    </row>
    <row r="111" customFormat="false" ht="14.25" hidden="false" customHeight="false" outlineLevel="0" collapsed="false">
      <c r="A111" s="1" t="s">
        <v>115</v>
      </c>
      <c r="B111" s="9" t="s">
        <v>285</v>
      </c>
      <c r="C111" s="10" t="s">
        <v>23</v>
      </c>
      <c r="D111" s="10" t="s">
        <v>35</v>
      </c>
      <c r="E111" s="11" t="s">
        <v>286</v>
      </c>
      <c r="F111" s="1" t="n">
        <v>473.79</v>
      </c>
      <c r="G111" s="13" t="s">
        <v>118</v>
      </c>
      <c r="H111" s="10" t="n">
        <f aca="false">SUM(I111,N111)/2</f>
        <v>0.675127267857143</v>
      </c>
      <c r="I111" s="10" t="n">
        <f aca="false">SUM(J111:M111)/4</f>
        <v>0.71740425</v>
      </c>
      <c r="J111" s="1" t="n">
        <v>0.813394</v>
      </c>
      <c r="K111" s="1" t="n">
        <v>0.814289</v>
      </c>
      <c r="L111" s="1" t="n">
        <v>0.320132</v>
      </c>
      <c r="M111" s="1" t="n">
        <v>0.921802</v>
      </c>
      <c r="N111" s="10" t="n">
        <f aca="false">SUM(O111:U111)/7</f>
        <v>0.632850285714286</v>
      </c>
      <c r="O111" s="1" t="n">
        <v>0.699911</v>
      </c>
      <c r="P111" s="1" t="n">
        <v>0.483373</v>
      </c>
      <c r="Q111" s="1" t="n">
        <v>0.589408</v>
      </c>
      <c r="R111" s="1" t="n">
        <v>0.655638</v>
      </c>
      <c r="S111" s="1" t="n">
        <v>0.615856</v>
      </c>
      <c r="T111" s="1" t="n">
        <v>0.987971</v>
      </c>
      <c r="U111" s="1" t="n">
        <v>0.397795</v>
      </c>
    </row>
    <row r="112" customFormat="false" ht="14.25" hidden="false" customHeight="false" outlineLevel="0" collapsed="false">
      <c r="A112" s="1" t="s">
        <v>115</v>
      </c>
      <c r="B112" s="9" t="s">
        <v>276</v>
      </c>
      <c r="C112" s="10" t="s">
        <v>23</v>
      </c>
      <c r="D112" s="10" t="s">
        <v>24</v>
      </c>
      <c r="E112" s="11" t="s">
        <v>287</v>
      </c>
      <c r="F112" s="1" t="n">
        <v>374.05</v>
      </c>
      <c r="G112" s="13" t="s">
        <v>118</v>
      </c>
      <c r="H112" s="10" t="n">
        <f aca="false">SUM(I112,N112)/2</f>
        <v>0.674403910714286</v>
      </c>
      <c r="I112" s="10" t="n">
        <f aca="false">SUM(J112:M112)/4</f>
        <v>0.71820725</v>
      </c>
      <c r="J112" s="1" t="n">
        <v>0.786587</v>
      </c>
      <c r="K112" s="1" t="n">
        <v>0.880187</v>
      </c>
      <c r="L112" s="1" t="n">
        <v>0.313179</v>
      </c>
      <c r="M112" s="1" t="n">
        <v>0.892876</v>
      </c>
      <c r="N112" s="10" t="n">
        <f aca="false">SUM(O112:U112)/7</f>
        <v>0.630600571428571</v>
      </c>
      <c r="O112" s="1" t="n">
        <v>0.642872</v>
      </c>
      <c r="P112" s="1" t="n">
        <v>0.308572</v>
      </c>
      <c r="Q112" s="1" t="n">
        <v>0.61067</v>
      </c>
      <c r="R112" s="1" t="n">
        <v>0.759608</v>
      </c>
      <c r="S112" s="1" t="n">
        <v>0.630236</v>
      </c>
      <c r="T112" s="1" t="n">
        <v>0.994767</v>
      </c>
      <c r="U112" s="1" t="n">
        <v>0.467479</v>
      </c>
    </row>
    <row r="113" customFormat="false" ht="14.25" hidden="false" customHeight="false" outlineLevel="0" collapsed="false">
      <c r="A113" s="1" t="s">
        <v>115</v>
      </c>
      <c r="B113" s="9" t="s">
        <v>283</v>
      </c>
      <c r="C113" s="10" t="s">
        <v>23</v>
      </c>
      <c r="D113" s="10" t="s">
        <v>35</v>
      </c>
      <c r="E113" s="11" t="s">
        <v>288</v>
      </c>
      <c r="F113" s="1" t="n">
        <v>428.95</v>
      </c>
      <c r="G113" s="13" t="s">
        <v>118</v>
      </c>
      <c r="H113" s="10" t="n">
        <f aca="false">SUM(I113,N113)/2</f>
        <v>0.671913625</v>
      </c>
      <c r="I113" s="10" t="n">
        <f aca="false">SUM(J113:M113)/4</f>
        <v>0.71990925</v>
      </c>
      <c r="J113" s="1" t="n">
        <v>0.806709</v>
      </c>
      <c r="K113" s="1" t="n">
        <v>0.833213</v>
      </c>
      <c r="L113" s="1" t="n">
        <v>0.321463</v>
      </c>
      <c r="M113" s="1" t="n">
        <v>0.918252</v>
      </c>
      <c r="N113" s="10" t="n">
        <f aca="false">SUM(O113:U113)/7</f>
        <v>0.623918</v>
      </c>
      <c r="O113" s="1" t="n">
        <v>0.648206</v>
      </c>
      <c r="P113" s="1" t="n">
        <v>0.452945</v>
      </c>
      <c r="Q113" s="1" t="n">
        <v>0.558952</v>
      </c>
      <c r="R113" s="1" t="n">
        <v>0.721852</v>
      </c>
      <c r="S113" s="1" t="n">
        <v>0.614812</v>
      </c>
      <c r="T113" s="1" t="n">
        <v>0.979617</v>
      </c>
      <c r="U113" s="1" t="n">
        <v>0.391042</v>
      </c>
    </row>
    <row r="114" customFormat="false" ht="14.25" hidden="false" customHeight="false" outlineLevel="0" collapsed="false">
      <c r="A114" s="1" t="s">
        <v>115</v>
      </c>
      <c r="B114" s="9" t="s">
        <v>187</v>
      </c>
      <c r="C114" s="10" t="s">
        <v>23</v>
      </c>
      <c r="D114" s="10" t="s">
        <v>35</v>
      </c>
      <c r="E114" s="11" t="s">
        <v>289</v>
      </c>
      <c r="F114" s="1" t="n">
        <v>526.43</v>
      </c>
      <c r="G114" s="13" t="s">
        <v>118</v>
      </c>
      <c r="H114" s="10" t="n">
        <f aca="false">SUM(I114,N114)/2</f>
        <v>0.670092571428572</v>
      </c>
      <c r="I114" s="10" t="n">
        <f aca="false">SUM(J114:M114)/4</f>
        <v>0.715371</v>
      </c>
      <c r="J114" s="1" t="n">
        <v>0.827457</v>
      </c>
      <c r="K114" s="1" t="n">
        <v>0.782351</v>
      </c>
      <c r="L114" s="1" t="n">
        <v>0.294941</v>
      </c>
      <c r="M114" s="1" t="n">
        <v>0.956735</v>
      </c>
      <c r="N114" s="10" t="n">
        <f aca="false">SUM(O114:U114)/7</f>
        <v>0.624814142857143</v>
      </c>
      <c r="O114" s="1" t="n">
        <v>0.763566</v>
      </c>
      <c r="P114" s="1" t="n">
        <v>0.613775</v>
      </c>
      <c r="Q114" s="1" t="n">
        <v>0.587705</v>
      </c>
      <c r="R114" s="1" t="n">
        <v>0.638401</v>
      </c>
      <c r="S114" s="1" t="n">
        <v>0.633798</v>
      </c>
      <c r="T114" s="1" t="n">
        <v>0.995864</v>
      </c>
      <c r="U114" s="1" t="n">
        <v>0.14059</v>
      </c>
    </row>
    <row r="115" customFormat="false" ht="14.25" hidden="false" customHeight="false" outlineLevel="0" collapsed="false">
      <c r="A115" s="1" t="s">
        <v>115</v>
      </c>
      <c r="B115" s="9" t="s">
        <v>266</v>
      </c>
      <c r="C115" s="10" t="s">
        <v>23</v>
      </c>
      <c r="D115" s="10" t="s">
        <v>24</v>
      </c>
      <c r="E115" s="11" t="s">
        <v>290</v>
      </c>
      <c r="F115" s="1" t="n">
        <v>356.67</v>
      </c>
      <c r="G115" s="13" t="s">
        <v>118</v>
      </c>
      <c r="H115" s="10" t="n">
        <f aca="false">SUM(I115,N115)/2</f>
        <v>0.668697285714286</v>
      </c>
      <c r="I115" s="10" t="n">
        <f aca="false">SUM(J115:M115)/4</f>
        <v>0.730756</v>
      </c>
      <c r="J115" s="1" t="n">
        <v>0.812713</v>
      </c>
      <c r="K115" s="1" t="n">
        <v>0.862047</v>
      </c>
      <c r="L115" s="1" t="n">
        <v>0.312045</v>
      </c>
      <c r="M115" s="1" t="n">
        <v>0.936219</v>
      </c>
      <c r="N115" s="10" t="n">
        <f aca="false">SUM(O115:U115)/7</f>
        <v>0.606638571428571</v>
      </c>
      <c r="O115" s="1" t="n">
        <v>0.689375</v>
      </c>
      <c r="P115" s="1" t="n">
        <v>0.434522</v>
      </c>
      <c r="Q115" s="1" t="n">
        <v>0.603517</v>
      </c>
      <c r="R115" s="1" t="n">
        <v>0.679265</v>
      </c>
      <c r="S115" s="1" t="n">
        <v>0.616311</v>
      </c>
      <c r="T115" s="1" t="n">
        <v>0.9933</v>
      </c>
      <c r="U115" s="1" t="n">
        <v>0.23018</v>
      </c>
    </row>
    <row r="116" customFormat="false" ht="14.25" hidden="false" customHeight="false" outlineLevel="0" collapsed="false">
      <c r="A116" s="1" t="s">
        <v>115</v>
      </c>
      <c r="B116" s="9" t="s">
        <v>280</v>
      </c>
      <c r="C116" s="10" t="s">
        <v>23</v>
      </c>
      <c r="D116" s="10" t="s">
        <v>24</v>
      </c>
      <c r="E116" s="11" t="s">
        <v>291</v>
      </c>
      <c r="F116" s="1" t="n">
        <v>400</v>
      </c>
      <c r="G116" s="13" t="s">
        <v>118</v>
      </c>
      <c r="H116" s="10" t="n">
        <f aca="false">SUM(I116,N116)/2</f>
        <v>0.668697285714286</v>
      </c>
      <c r="I116" s="10" t="n">
        <f aca="false">SUM(J116:M116)/4</f>
        <v>0.730756</v>
      </c>
      <c r="J116" s="1" t="n">
        <v>0.812713</v>
      </c>
      <c r="K116" s="1" t="n">
        <v>0.862047</v>
      </c>
      <c r="L116" s="1" t="n">
        <v>0.312045</v>
      </c>
      <c r="M116" s="1" t="n">
        <v>0.936219</v>
      </c>
      <c r="N116" s="10" t="n">
        <f aca="false">SUM(O116:U116)/7</f>
        <v>0.606638571428571</v>
      </c>
      <c r="O116" s="1" t="n">
        <v>0.689375</v>
      </c>
      <c r="P116" s="1" t="n">
        <v>0.434522</v>
      </c>
      <c r="Q116" s="1" t="n">
        <v>0.603517</v>
      </c>
      <c r="R116" s="1" t="n">
        <v>0.679265</v>
      </c>
      <c r="S116" s="1" t="n">
        <v>0.616311</v>
      </c>
      <c r="T116" s="1" t="n">
        <v>0.9933</v>
      </c>
      <c r="U116" s="1" t="n">
        <v>0.23018</v>
      </c>
    </row>
    <row r="117" customFormat="false" ht="14.25" hidden="false" customHeight="false" outlineLevel="0" collapsed="false">
      <c r="A117" s="1" t="s">
        <v>115</v>
      </c>
      <c r="B117" s="9" t="s">
        <v>264</v>
      </c>
      <c r="C117" s="10" t="s">
        <v>23</v>
      </c>
      <c r="D117" s="10" t="s">
        <v>35</v>
      </c>
      <c r="E117" s="11" t="s">
        <v>292</v>
      </c>
      <c r="F117" s="1" t="n">
        <v>435.13</v>
      </c>
      <c r="G117" s="13" t="s">
        <v>118</v>
      </c>
      <c r="H117" s="10" t="n">
        <f aca="false">SUM(I117,N117)/2</f>
        <v>0.667990482142857</v>
      </c>
      <c r="I117" s="10" t="n">
        <f aca="false">SUM(J117:M117)/4</f>
        <v>0.72085725</v>
      </c>
      <c r="J117" s="1" t="n">
        <v>0.797545</v>
      </c>
      <c r="K117" s="1" t="n">
        <v>0.855979</v>
      </c>
      <c r="L117" s="1" t="n">
        <v>0.312786</v>
      </c>
      <c r="M117" s="1" t="n">
        <v>0.917119</v>
      </c>
      <c r="N117" s="10" t="n">
        <f aca="false">SUM(O117:U117)/7</f>
        <v>0.615123714285714</v>
      </c>
      <c r="O117" s="1" t="n">
        <v>0.663931</v>
      </c>
      <c r="P117" s="1" t="n">
        <v>0.439852</v>
      </c>
      <c r="Q117" s="1" t="n">
        <v>0.566336</v>
      </c>
      <c r="R117" s="1" t="n">
        <v>0.650326</v>
      </c>
      <c r="S117" s="1" t="n">
        <v>0.594311</v>
      </c>
      <c r="T117" s="1" t="n">
        <v>0.988397</v>
      </c>
      <c r="U117" s="1" t="n">
        <v>0.402713</v>
      </c>
    </row>
    <row r="118" customFormat="false" ht="14.25" hidden="false" customHeight="false" outlineLevel="0" collapsed="false">
      <c r="A118" s="1" t="s">
        <v>115</v>
      </c>
      <c r="B118" s="9" t="s">
        <v>256</v>
      </c>
      <c r="C118" s="10" t="s">
        <v>23</v>
      </c>
      <c r="D118" s="10" t="s">
        <v>35</v>
      </c>
      <c r="E118" s="11" t="s">
        <v>293</v>
      </c>
      <c r="F118" s="1" t="n">
        <v>425.93</v>
      </c>
      <c r="G118" s="13" t="s">
        <v>118</v>
      </c>
      <c r="H118" s="10" t="n">
        <f aca="false">SUM(I118,N118)/2</f>
        <v>0.661002142857143</v>
      </c>
      <c r="I118" s="10" t="n">
        <f aca="false">SUM(J118:M118)/4</f>
        <v>0.708326</v>
      </c>
      <c r="J118" s="1" t="n">
        <v>0.810692</v>
      </c>
      <c r="K118" s="1" t="n">
        <v>0.790778</v>
      </c>
      <c r="L118" s="1" t="n">
        <v>0.320152</v>
      </c>
      <c r="M118" s="1" t="n">
        <v>0.911682</v>
      </c>
      <c r="N118" s="10" t="n">
        <f aca="false">SUM(O118:U118)/7</f>
        <v>0.613678285714286</v>
      </c>
      <c r="O118" s="1" t="n">
        <v>0.646342</v>
      </c>
      <c r="P118" s="1" t="n">
        <v>0.444411</v>
      </c>
      <c r="Q118" s="1" t="n">
        <v>0.576452</v>
      </c>
      <c r="R118" s="1" t="n">
        <v>0.636701</v>
      </c>
      <c r="S118" s="1" t="n">
        <v>0.594618</v>
      </c>
      <c r="T118" s="1" t="n">
        <v>0.982033</v>
      </c>
      <c r="U118" s="1" t="n">
        <v>0.415191</v>
      </c>
    </row>
    <row r="119" customFormat="false" ht="14.25" hidden="false" customHeight="false" outlineLevel="0" collapsed="false">
      <c r="A119" s="1" t="s">
        <v>115</v>
      </c>
      <c r="B119" s="9" t="s">
        <v>294</v>
      </c>
      <c r="C119" s="10" t="s">
        <v>23</v>
      </c>
      <c r="D119" s="10" t="s">
        <v>24</v>
      </c>
      <c r="E119" s="11" t="s">
        <v>295</v>
      </c>
      <c r="F119" s="1" t="n">
        <v>364.39</v>
      </c>
      <c r="G119" s="13" t="s">
        <v>118</v>
      </c>
      <c r="H119" s="10" t="n">
        <f aca="false">SUM(I119,N119)/2</f>
        <v>0.656882178571429</v>
      </c>
      <c r="I119" s="10" t="n">
        <f aca="false">SUM(J119:M119)/4</f>
        <v>0.7137305</v>
      </c>
      <c r="J119" s="1" t="n">
        <v>0.818644</v>
      </c>
      <c r="K119" s="1" t="n">
        <v>0.789313</v>
      </c>
      <c r="L119" s="1" t="n">
        <v>0.328427</v>
      </c>
      <c r="M119" s="1" t="n">
        <v>0.918538</v>
      </c>
      <c r="N119" s="10" t="n">
        <f aca="false">SUM(O119:U119)/7</f>
        <v>0.600033857142857</v>
      </c>
      <c r="O119" s="1" t="n">
        <v>0.647257</v>
      </c>
      <c r="P119" s="1" t="n">
        <v>0.418291</v>
      </c>
      <c r="Q119" s="1" t="n">
        <v>0.564658</v>
      </c>
      <c r="R119" s="1" t="n">
        <v>0.621132</v>
      </c>
      <c r="S119" s="1" t="n">
        <v>0.573916</v>
      </c>
      <c r="T119" s="1" t="n">
        <v>0.980763</v>
      </c>
      <c r="U119" s="1" t="n">
        <v>0.39422</v>
      </c>
    </row>
    <row r="120" customFormat="false" ht="14.25" hidden="false" customHeight="false" outlineLevel="0" collapsed="false">
      <c r="A120" s="1" t="s">
        <v>115</v>
      </c>
      <c r="B120" s="9" t="s">
        <v>285</v>
      </c>
      <c r="C120" s="10" t="s">
        <v>23</v>
      </c>
      <c r="D120" s="10" t="s">
        <v>24</v>
      </c>
      <c r="E120" s="11" t="s">
        <v>296</v>
      </c>
      <c r="F120" s="1" t="n">
        <v>345.74</v>
      </c>
      <c r="G120" s="13" t="s">
        <v>118</v>
      </c>
      <c r="H120" s="10" t="n">
        <f aca="false">SUM(I120,N120)/2</f>
        <v>0.635975196428571</v>
      </c>
      <c r="I120" s="10" t="n">
        <f aca="false">SUM(J120:M120)/4</f>
        <v>0.69561925</v>
      </c>
      <c r="J120" s="1" t="n">
        <v>0.767415</v>
      </c>
      <c r="K120" s="1" t="n">
        <v>0.836292</v>
      </c>
      <c r="L120" s="1" t="n">
        <v>0.328266</v>
      </c>
      <c r="M120" s="1" t="n">
        <v>0.850504</v>
      </c>
      <c r="N120" s="10" t="n">
        <f aca="false">SUM(O120:U120)/7</f>
        <v>0.576331142857143</v>
      </c>
      <c r="O120" s="1" t="n">
        <v>0.613825</v>
      </c>
      <c r="P120" s="1" t="n">
        <v>0.240183</v>
      </c>
      <c r="Q120" s="1" t="n">
        <v>0.57896</v>
      </c>
      <c r="R120" s="1" t="n">
        <v>0.577289</v>
      </c>
      <c r="S120" s="1" t="n">
        <v>0.58039</v>
      </c>
      <c r="T120" s="1" t="n">
        <v>0.98913</v>
      </c>
      <c r="U120" s="1" t="n">
        <v>0.454541</v>
      </c>
    </row>
    <row r="121" customFormat="false" ht="14.25" hidden="false" customHeight="false" outlineLevel="0" collapsed="false">
      <c r="A121" s="1" t="s">
        <v>115</v>
      </c>
      <c r="B121" s="9" t="s">
        <v>294</v>
      </c>
      <c r="C121" s="10" t="s">
        <v>23</v>
      </c>
      <c r="D121" s="10" t="s">
        <v>35</v>
      </c>
      <c r="E121" s="11" t="s">
        <v>297</v>
      </c>
      <c r="F121" s="1" t="n">
        <v>451.05</v>
      </c>
      <c r="G121" s="13" t="s">
        <v>118</v>
      </c>
      <c r="H121" s="10" t="n">
        <f aca="false">SUM(I121,N121)/2</f>
        <v>0.635032053571429</v>
      </c>
      <c r="I121" s="10" t="n">
        <f aca="false">SUM(J121:M121)/4</f>
        <v>0.68205425</v>
      </c>
      <c r="J121" s="1" t="n">
        <v>0.777878</v>
      </c>
      <c r="K121" s="1" t="n">
        <v>0.817598</v>
      </c>
      <c r="L121" s="1" t="n">
        <v>0.328534</v>
      </c>
      <c r="M121" s="1" t="n">
        <v>0.804207</v>
      </c>
      <c r="N121" s="10" t="n">
        <f aca="false">SUM(O121:U121)/7</f>
        <v>0.588009857142857</v>
      </c>
      <c r="O121" s="1" t="n">
        <v>0.557792</v>
      </c>
      <c r="P121" s="1" t="n">
        <v>0.205269</v>
      </c>
      <c r="Q121" s="1" t="n">
        <v>0.559055</v>
      </c>
      <c r="R121" s="1" t="n">
        <v>0.689112</v>
      </c>
      <c r="S121" s="1" t="n">
        <v>0.585333</v>
      </c>
      <c r="T121" s="1" t="n">
        <v>0.978222</v>
      </c>
      <c r="U121" s="1" t="n">
        <v>0.541286</v>
      </c>
    </row>
    <row r="122" customFormat="false" ht="14.25" hidden="false" customHeight="false" outlineLevel="0" collapsed="false">
      <c r="A122" s="1" t="s">
        <v>115</v>
      </c>
      <c r="B122" s="9" t="s">
        <v>270</v>
      </c>
      <c r="C122" s="10" t="s">
        <v>23</v>
      </c>
      <c r="D122" s="10" t="s">
        <v>35</v>
      </c>
      <c r="E122" s="11" t="s">
        <v>298</v>
      </c>
      <c r="F122" s="1" t="n">
        <v>404.3</v>
      </c>
      <c r="G122" s="13" t="s">
        <v>118</v>
      </c>
      <c r="H122" s="10" t="n">
        <f aca="false">SUM(I122,N122)/2</f>
        <v>0.632939714285714</v>
      </c>
      <c r="I122" s="10" t="n">
        <f aca="false">SUM(J122:M122)/4</f>
        <v>0.710491</v>
      </c>
      <c r="J122" s="1" t="n">
        <v>0.823011</v>
      </c>
      <c r="K122" s="1" t="n">
        <v>0.78755</v>
      </c>
      <c r="L122" s="1" t="n">
        <v>0.32448</v>
      </c>
      <c r="M122" s="1" t="n">
        <v>0.906923</v>
      </c>
      <c r="N122" s="10" t="n">
        <f aca="false">SUM(O122:U122)/7</f>
        <v>0.555388428571429</v>
      </c>
      <c r="O122" s="1" t="n">
        <v>0.62328</v>
      </c>
      <c r="P122" s="1" t="n">
        <v>0.36458</v>
      </c>
      <c r="Q122" s="1" t="n">
        <v>0.558658</v>
      </c>
      <c r="R122" s="1" t="n">
        <v>0.606552</v>
      </c>
      <c r="S122" s="1" t="n">
        <v>0.575469</v>
      </c>
      <c r="T122" s="1" t="n">
        <v>0.980959</v>
      </c>
      <c r="U122" s="1" t="n">
        <v>0.178221</v>
      </c>
    </row>
  </sheetData>
  <autoFilter ref="A2:U122">
    <sortState ref="A3:U122">
      <sortCondition ref="B3:B122" descending="1" customList=""/>
    </sortState>
  </autoFilter>
  <mergeCells count="2">
    <mergeCell ref="I1:M1"/>
    <mergeCell ref="N1:U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62"/>
  <sheetViews>
    <sheetView showFormulas="false" showGridLines="true" showRowColHeaders="true" showZeros="true" rightToLeft="false" tabSelected="false" showOutlineSymbols="true" defaultGridColor="true" view="normal" topLeftCell="A40" colorId="64" zoomScale="100" zoomScaleNormal="100" zoomScalePageLayoutView="100" workbookViewId="0">
      <selection pane="topLeft" activeCell="G66" activeCellId="0" sqref="G66"/>
    </sheetView>
  </sheetViews>
  <sheetFormatPr defaultColWidth="8.6796875" defaultRowHeight="14.25" zeroHeight="false" outlineLevelRow="0" outlineLevelCol="0"/>
  <cols>
    <col collapsed="false" customWidth="true" hidden="false" outlineLevel="0" max="2" min="2" style="1" width="38.67"/>
    <col collapsed="false" customWidth="true" hidden="false" outlineLevel="0" max="3" min="3" style="1" width="9.88"/>
    <col collapsed="false" customWidth="true" hidden="false" outlineLevel="0" max="8" min="8" style="1" width="20.85"/>
    <col collapsed="false" customWidth="true" hidden="false" outlineLevel="0" max="9" min="9" style="1" width="31.86"/>
    <col collapsed="false" customWidth="true" hidden="false" outlineLevel="0" max="14" min="14" style="1" width="17.39"/>
  </cols>
  <sheetData>
    <row r="1" customFormat="false" ht="14.25" hidden="false" customHeight="false" outlineLevel="0" collapsed="false">
      <c r="I1" s="2" t="s">
        <v>0</v>
      </c>
      <c r="J1" s="2"/>
      <c r="K1" s="2"/>
      <c r="L1" s="2"/>
      <c r="M1" s="2"/>
      <c r="N1" s="3" t="s">
        <v>1</v>
      </c>
      <c r="O1" s="3"/>
      <c r="P1" s="3"/>
      <c r="Q1" s="3"/>
      <c r="R1" s="3"/>
      <c r="S1" s="3"/>
      <c r="T1" s="3"/>
      <c r="U1" s="3"/>
    </row>
    <row r="2" customFormat="false" ht="77.6" hidden="false" customHeight="false" outlineLevel="0" collapsed="false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5" t="s">
        <v>9</v>
      </c>
      <c r="I2" s="6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7" t="s">
        <v>9</v>
      </c>
      <c r="O2" s="4" t="s">
        <v>14</v>
      </c>
      <c r="P2" s="4" t="s">
        <v>15</v>
      </c>
      <c r="Q2" s="4" t="s">
        <v>16</v>
      </c>
      <c r="R2" s="4" t="s">
        <v>17</v>
      </c>
      <c r="S2" s="4" t="s">
        <v>18</v>
      </c>
      <c r="T2" s="4" t="s">
        <v>19</v>
      </c>
      <c r="U2" s="4" t="s">
        <v>20</v>
      </c>
    </row>
    <row r="3" customFormat="false" ht="14.25" hidden="false" customHeight="false" outlineLevel="0" collapsed="false">
      <c r="A3" s="1" t="s">
        <v>299</v>
      </c>
      <c r="B3" s="9" t="s">
        <v>47</v>
      </c>
      <c r="C3" s="10" t="s">
        <v>23</v>
      </c>
      <c r="D3" s="10" t="s">
        <v>24</v>
      </c>
      <c r="E3" s="11" t="s">
        <v>300</v>
      </c>
      <c r="F3" s="1" t="n">
        <v>204.54</v>
      </c>
      <c r="G3" s="11" t="s">
        <v>300</v>
      </c>
      <c r="H3" s="10" t="n">
        <f aca="false">SUM(I3,N3)/2</f>
        <v>0.757737625</v>
      </c>
      <c r="I3" s="10" t="n">
        <f aca="false">SUM(J3:M3)/4</f>
        <v>0.72932625</v>
      </c>
      <c r="J3" s="1" t="n">
        <v>0.868316</v>
      </c>
      <c r="K3" s="1" t="n">
        <v>0.910374</v>
      </c>
      <c r="L3" s="1" t="n">
        <v>0.184334</v>
      </c>
      <c r="M3" s="1" t="n">
        <v>0.954281</v>
      </c>
      <c r="N3" s="10" t="n">
        <f aca="false">SUM(O3:U3)/7</f>
        <v>0.786149</v>
      </c>
      <c r="O3" s="1" t="n">
        <v>0.802674</v>
      </c>
      <c r="P3" s="1" t="n">
        <v>0.776107</v>
      </c>
      <c r="Q3" s="1" t="n">
        <v>0.585012</v>
      </c>
      <c r="R3" s="1" t="n">
        <v>0.830295</v>
      </c>
      <c r="S3" s="1" t="n">
        <v>0.658375</v>
      </c>
      <c r="T3" s="1" t="n">
        <v>0.998182</v>
      </c>
      <c r="U3" s="1" t="n">
        <v>0.852398</v>
      </c>
    </row>
    <row r="4" customFormat="false" ht="14.25" hidden="false" customHeight="false" outlineLevel="0" collapsed="false">
      <c r="A4" s="1" t="s">
        <v>299</v>
      </c>
      <c r="B4" s="9" t="s">
        <v>49</v>
      </c>
      <c r="C4" s="10" t="s">
        <v>23</v>
      </c>
      <c r="D4" s="10" t="s">
        <v>24</v>
      </c>
      <c r="E4" s="11" t="s">
        <v>300</v>
      </c>
      <c r="F4" s="1" t="n">
        <v>212.14</v>
      </c>
      <c r="G4" s="11" t="s">
        <v>300</v>
      </c>
      <c r="H4" s="10" t="n">
        <f aca="false">SUM(I4,N4)/2</f>
        <v>0.755776267857143</v>
      </c>
      <c r="I4" s="10" t="n">
        <f aca="false">SUM(J4:M4)/4</f>
        <v>0.72695325</v>
      </c>
      <c r="J4" s="1" t="n">
        <v>0.876343</v>
      </c>
      <c r="K4" s="1" t="n">
        <v>0.894938</v>
      </c>
      <c r="L4" s="1" t="n">
        <v>0.173621</v>
      </c>
      <c r="M4" s="1" t="n">
        <v>0.962911</v>
      </c>
      <c r="N4" s="10" t="n">
        <f aca="false">SUM(O4:U4)/7</f>
        <v>0.784599285714286</v>
      </c>
      <c r="O4" s="1" t="n">
        <v>0.803898</v>
      </c>
      <c r="P4" s="1" t="n">
        <v>0.777537</v>
      </c>
      <c r="Q4" s="1" t="n">
        <v>0.573591</v>
      </c>
      <c r="R4" s="1" t="n">
        <v>0.854084</v>
      </c>
      <c r="S4" s="1" t="n">
        <v>0.649871</v>
      </c>
      <c r="T4" s="1" t="n">
        <v>0.998105</v>
      </c>
      <c r="U4" s="1" t="n">
        <v>0.835109</v>
      </c>
    </row>
    <row r="5" customFormat="false" ht="14.25" hidden="false" customHeight="false" outlineLevel="0" collapsed="false">
      <c r="A5" s="1" t="s">
        <v>299</v>
      </c>
      <c r="B5" s="9" t="s">
        <v>62</v>
      </c>
      <c r="C5" s="10" t="s">
        <v>23</v>
      </c>
      <c r="D5" s="10" t="s">
        <v>24</v>
      </c>
      <c r="E5" s="11" t="s">
        <v>300</v>
      </c>
      <c r="F5" s="1" t="n">
        <v>226.85</v>
      </c>
      <c r="G5" s="11" t="s">
        <v>300</v>
      </c>
      <c r="H5" s="10" t="n">
        <f aca="false">SUM(I5,N5)/2</f>
        <v>0.752950696428572</v>
      </c>
      <c r="I5" s="10" t="n">
        <f aca="false">SUM(J5:M5)/4</f>
        <v>0.73062625</v>
      </c>
      <c r="J5" s="1" t="n">
        <v>0.878507</v>
      </c>
      <c r="K5" s="1" t="n">
        <v>0.900791</v>
      </c>
      <c r="L5" s="1" t="n">
        <v>0.174237</v>
      </c>
      <c r="M5" s="1" t="n">
        <v>0.96897</v>
      </c>
      <c r="N5" s="10" t="n">
        <f aca="false">SUM(O5:U5)/7</f>
        <v>0.775275142857143</v>
      </c>
      <c r="O5" s="1" t="n">
        <v>0.791704</v>
      </c>
      <c r="P5" s="1" t="n">
        <v>0.720294</v>
      </c>
      <c r="Q5" s="1" t="n">
        <v>0.574594</v>
      </c>
      <c r="R5" s="1" t="n">
        <v>0.840872</v>
      </c>
      <c r="S5" s="1" t="n">
        <v>0.650331</v>
      </c>
      <c r="T5" s="1" t="n">
        <v>0.998697</v>
      </c>
      <c r="U5" s="1" t="n">
        <v>0.850434</v>
      </c>
    </row>
    <row r="6" customFormat="false" ht="14.25" hidden="false" customHeight="false" outlineLevel="0" collapsed="false">
      <c r="A6" s="1" t="s">
        <v>299</v>
      </c>
      <c r="B6" s="9" t="s">
        <v>41</v>
      </c>
      <c r="C6" s="10" t="s">
        <v>23</v>
      </c>
      <c r="D6" s="10" t="s">
        <v>24</v>
      </c>
      <c r="E6" s="11" t="s">
        <v>300</v>
      </c>
      <c r="F6" s="1" t="n">
        <v>207.27</v>
      </c>
      <c r="G6" s="11" t="s">
        <v>300</v>
      </c>
      <c r="H6" s="10" t="n">
        <f aca="false">SUM(I6,N6)/2</f>
        <v>0.752390410714286</v>
      </c>
      <c r="I6" s="10" t="n">
        <f aca="false">SUM(J6:M6)/4</f>
        <v>0.73250625</v>
      </c>
      <c r="J6" s="1" t="n">
        <v>0.886172</v>
      </c>
      <c r="K6" s="1" t="n">
        <v>0.895302</v>
      </c>
      <c r="L6" s="1" t="n">
        <v>0.174745</v>
      </c>
      <c r="M6" s="1" t="n">
        <v>0.973806</v>
      </c>
      <c r="N6" s="10" t="n">
        <f aca="false">SUM(O6:U6)/7</f>
        <v>0.772274571428572</v>
      </c>
      <c r="O6" s="1" t="n">
        <v>0.788219</v>
      </c>
      <c r="P6" s="1" t="n">
        <v>0.705563</v>
      </c>
      <c r="Q6" s="1" t="n">
        <v>0.573982</v>
      </c>
      <c r="R6" s="1" t="n">
        <v>0.851397</v>
      </c>
      <c r="S6" s="1" t="n">
        <v>0.642488</v>
      </c>
      <c r="T6" s="1" t="n">
        <v>0.99794</v>
      </c>
      <c r="U6" s="1" t="n">
        <v>0.846333</v>
      </c>
    </row>
    <row r="7" customFormat="false" ht="14.25" hidden="false" customHeight="false" outlineLevel="0" collapsed="false">
      <c r="A7" s="1" t="s">
        <v>299</v>
      </c>
      <c r="B7" s="9" t="s">
        <v>41</v>
      </c>
      <c r="C7" s="10" t="s">
        <v>23</v>
      </c>
      <c r="D7" s="10" t="s">
        <v>35</v>
      </c>
      <c r="E7" s="11" t="s">
        <v>300</v>
      </c>
      <c r="F7" s="1" t="n">
        <v>243.87</v>
      </c>
      <c r="G7" s="11" t="s">
        <v>300</v>
      </c>
      <c r="H7" s="10" t="n">
        <f aca="false">SUM(I7,N7)/2</f>
        <v>0.743359607142857</v>
      </c>
      <c r="I7" s="10" t="n">
        <f aca="false">SUM(J7:M7)/4</f>
        <v>0.7024615</v>
      </c>
      <c r="J7" s="1" t="n">
        <v>0.866541</v>
      </c>
      <c r="K7" s="1" t="n">
        <v>0.891382</v>
      </c>
      <c r="L7" s="1" t="n">
        <v>0.146863</v>
      </c>
      <c r="M7" s="1" t="n">
        <v>0.90506</v>
      </c>
      <c r="N7" s="10" t="n">
        <f aca="false">SUM(O7:U7)/7</f>
        <v>0.784257714285714</v>
      </c>
      <c r="O7" s="1" t="n">
        <v>0.797221</v>
      </c>
      <c r="P7" s="1" t="n">
        <v>0.773239</v>
      </c>
      <c r="Q7" s="1" t="n">
        <v>0.57978</v>
      </c>
      <c r="R7" s="1" t="n">
        <v>0.853482</v>
      </c>
      <c r="S7" s="1" t="n">
        <v>0.645027</v>
      </c>
      <c r="T7" s="1" t="n">
        <v>0.99845</v>
      </c>
      <c r="U7" s="1" t="n">
        <v>0.842605</v>
      </c>
    </row>
    <row r="8" customFormat="false" ht="14.25" hidden="false" customHeight="false" outlineLevel="0" collapsed="false">
      <c r="A8" s="1" t="s">
        <v>299</v>
      </c>
      <c r="B8" s="9" t="s">
        <v>74</v>
      </c>
      <c r="C8" s="10" t="s">
        <v>23</v>
      </c>
      <c r="D8" s="10" t="s">
        <v>24</v>
      </c>
      <c r="E8" s="11" t="s">
        <v>300</v>
      </c>
      <c r="F8" s="1" t="n">
        <v>239.77</v>
      </c>
      <c r="G8" s="11" t="s">
        <v>300</v>
      </c>
      <c r="H8" s="10" t="n">
        <f aca="false">SUM(I8,N8)/2</f>
        <v>0.742793089285714</v>
      </c>
      <c r="I8" s="10" t="n">
        <f aca="false">SUM(J8:M8)/4</f>
        <v>0.72045275</v>
      </c>
      <c r="J8" s="1" t="n">
        <v>0.829249</v>
      </c>
      <c r="K8" s="1" t="n">
        <v>0.890201</v>
      </c>
      <c r="L8" s="1" t="n">
        <v>0.193761</v>
      </c>
      <c r="M8" s="1" t="n">
        <v>0.9686</v>
      </c>
      <c r="N8" s="10" t="n">
        <f aca="false">SUM(O8:U8)/7</f>
        <v>0.765133428571429</v>
      </c>
      <c r="O8" s="1" t="n">
        <v>0.777417</v>
      </c>
      <c r="P8" s="1" t="n">
        <v>0.612652</v>
      </c>
      <c r="Q8" s="1" t="n">
        <v>0.613015</v>
      </c>
      <c r="R8" s="1" t="n">
        <v>0.827459</v>
      </c>
      <c r="S8" s="1" t="n">
        <v>0.669002</v>
      </c>
      <c r="T8" s="1" t="n">
        <v>0.997781</v>
      </c>
      <c r="U8" s="1" t="n">
        <v>0.858608</v>
      </c>
    </row>
    <row r="9" customFormat="false" ht="14.25" hidden="false" customHeight="false" outlineLevel="0" collapsed="false">
      <c r="A9" s="1" t="s">
        <v>299</v>
      </c>
      <c r="B9" s="9" t="s">
        <v>111</v>
      </c>
      <c r="C9" s="10" t="s">
        <v>23</v>
      </c>
      <c r="D9" s="10" t="s">
        <v>24</v>
      </c>
      <c r="E9" s="11" t="s">
        <v>300</v>
      </c>
      <c r="F9" s="1" t="n">
        <v>274</v>
      </c>
      <c r="G9" s="11" t="s">
        <v>300</v>
      </c>
      <c r="H9" s="10" t="n">
        <f aca="false">SUM(I9,N9)/2</f>
        <v>0.742639071428572</v>
      </c>
      <c r="I9" s="10" t="n">
        <f aca="false">SUM(J9:M9)/4</f>
        <v>0.7232</v>
      </c>
      <c r="J9" s="1" t="n">
        <v>0.837921</v>
      </c>
      <c r="K9" s="1" t="n">
        <v>0.892066</v>
      </c>
      <c r="L9" s="1" t="n">
        <v>0.182673</v>
      </c>
      <c r="M9" s="1" t="n">
        <v>0.98014</v>
      </c>
      <c r="N9" s="10" t="n">
        <f aca="false">SUM(O9:U9)/7</f>
        <v>0.762078142857143</v>
      </c>
      <c r="O9" s="1" t="n">
        <v>0.790107</v>
      </c>
      <c r="P9" s="1" t="n">
        <v>0.621669</v>
      </c>
      <c r="Q9" s="1" t="n">
        <v>0.607624</v>
      </c>
      <c r="R9" s="1" t="n">
        <v>0.818684</v>
      </c>
      <c r="S9" s="1" t="n">
        <v>0.645047</v>
      </c>
      <c r="T9" s="1" t="n">
        <v>0.997471</v>
      </c>
      <c r="U9" s="1" t="n">
        <v>0.853945</v>
      </c>
    </row>
    <row r="10" customFormat="false" ht="14.25" hidden="false" customHeight="false" outlineLevel="0" collapsed="false">
      <c r="A10" s="1" t="s">
        <v>299</v>
      </c>
      <c r="B10" s="9" t="s">
        <v>22</v>
      </c>
      <c r="C10" s="10" t="s">
        <v>23</v>
      </c>
      <c r="D10" s="10" t="s">
        <v>24</v>
      </c>
      <c r="E10" s="11" t="s">
        <v>300</v>
      </c>
      <c r="F10" s="1" t="n">
        <v>326.43</v>
      </c>
      <c r="G10" s="11" t="s">
        <v>300</v>
      </c>
      <c r="H10" s="10" t="n">
        <f aca="false">SUM(I10,N10)/2</f>
        <v>0.741908017857143</v>
      </c>
      <c r="I10" s="10" t="n">
        <f aca="false">SUM(J10:M10)/4</f>
        <v>0.73826975</v>
      </c>
      <c r="J10" s="1" t="n">
        <v>0.891023</v>
      </c>
      <c r="K10" s="1" t="n">
        <v>0.906577</v>
      </c>
      <c r="L10" s="1" t="n">
        <v>0.18661</v>
      </c>
      <c r="M10" s="1" t="n">
        <v>0.968869</v>
      </c>
      <c r="N10" s="10" t="n">
        <f aca="false">SUM(O10:U10)/7</f>
        <v>0.745546285714286</v>
      </c>
      <c r="O10" s="1" t="n">
        <v>0.757588</v>
      </c>
      <c r="P10" s="1" t="n">
        <v>0.545084</v>
      </c>
      <c r="Q10" s="1" t="n">
        <v>0.563018</v>
      </c>
      <c r="R10" s="1" t="n">
        <v>0.856559</v>
      </c>
      <c r="S10" s="1" t="n">
        <v>0.646091</v>
      </c>
      <c r="T10" s="1" t="n">
        <v>0.997056</v>
      </c>
      <c r="U10" s="1" t="n">
        <v>0.853428</v>
      </c>
    </row>
    <row r="11" customFormat="false" ht="14.25" hidden="false" customHeight="false" outlineLevel="0" collapsed="false">
      <c r="A11" s="1" t="s">
        <v>299</v>
      </c>
      <c r="B11" s="9" t="s">
        <v>101</v>
      </c>
      <c r="C11" s="10" t="s">
        <v>23</v>
      </c>
      <c r="D11" s="10" t="s">
        <v>24</v>
      </c>
      <c r="E11" s="11" t="s">
        <v>300</v>
      </c>
      <c r="F11" s="1" t="n">
        <v>225.48</v>
      </c>
      <c r="G11" s="11" t="s">
        <v>300</v>
      </c>
      <c r="H11" s="10" t="n">
        <f aca="false">SUM(I11,N11)/2</f>
        <v>0.741078732142857</v>
      </c>
      <c r="I11" s="10" t="n">
        <f aca="false">SUM(J11:M11)/4</f>
        <v>0.71995875</v>
      </c>
      <c r="J11" s="1" t="n">
        <v>0.835288</v>
      </c>
      <c r="K11" s="1" t="n">
        <v>0.887945</v>
      </c>
      <c r="L11" s="1" t="n">
        <v>0.193634</v>
      </c>
      <c r="M11" s="1" t="n">
        <v>0.962968</v>
      </c>
      <c r="N11" s="10" t="n">
        <f aca="false">SUM(O11:U11)/7</f>
        <v>0.762198714285714</v>
      </c>
      <c r="O11" s="1" t="n">
        <v>0.777706</v>
      </c>
      <c r="P11" s="1" t="n">
        <v>0.605823</v>
      </c>
      <c r="Q11" s="1" t="n">
        <v>0.610888</v>
      </c>
      <c r="R11" s="1" t="n">
        <v>0.821515</v>
      </c>
      <c r="S11" s="1" t="n">
        <v>0.661906</v>
      </c>
      <c r="T11" s="1" t="n">
        <v>0.997771</v>
      </c>
      <c r="U11" s="1" t="n">
        <v>0.859782</v>
      </c>
    </row>
    <row r="12" customFormat="false" ht="14.25" hidden="false" customHeight="false" outlineLevel="0" collapsed="false">
      <c r="A12" s="1" t="s">
        <v>299</v>
      </c>
      <c r="B12" s="9" t="s">
        <v>59</v>
      </c>
      <c r="C12" s="10" t="s">
        <v>23</v>
      </c>
      <c r="D12" s="10" t="s">
        <v>24</v>
      </c>
      <c r="E12" s="11" t="s">
        <v>300</v>
      </c>
      <c r="F12" s="1" t="n">
        <v>220.36</v>
      </c>
      <c r="G12" s="11" t="s">
        <v>300</v>
      </c>
      <c r="H12" s="10" t="n">
        <f aca="false">SUM(I12,N12)/2</f>
        <v>0.73886875</v>
      </c>
      <c r="I12" s="10" t="n">
        <f aca="false">SUM(J12:M12)/4</f>
        <v>0.7226925</v>
      </c>
      <c r="J12" s="1" t="n">
        <v>0.842229</v>
      </c>
      <c r="K12" s="1" t="n">
        <v>0.903055</v>
      </c>
      <c r="L12" s="1" t="n">
        <v>0.183337</v>
      </c>
      <c r="M12" s="1" t="n">
        <v>0.962149</v>
      </c>
      <c r="N12" s="10" t="n">
        <f aca="false">SUM(O12:U12)/7</f>
        <v>0.755045</v>
      </c>
      <c r="O12" s="1" t="n">
        <v>0.769115</v>
      </c>
      <c r="P12" s="1" t="n">
        <v>0.55521</v>
      </c>
      <c r="Q12" s="1" t="n">
        <v>0.59615</v>
      </c>
      <c r="R12" s="1" t="n">
        <v>0.834939</v>
      </c>
      <c r="S12" s="1" t="n">
        <v>0.678692</v>
      </c>
      <c r="T12" s="1" t="n">
        <v>0.998262</v>
      </c>
      <c r="U12" s="1" t="n">
        <v>0.852947</v>
      </c>
    </row>
    <row r="13" customFormat="false" ht="14.25" hidden="false" customHeight="false" outlineLevel="0" collapsed="false">
      <c r="A13" s="1" t="s">
        <v>299</v>
      </c>
      <c r="B13" s="9" t="s">
        <v>97</v>
      </c>
      <c r="C13" s="10" t="s">
        <v>23</v>
      </c>
      <c r="D13" s="10" t="s">
        <v>24</v>
      </c>
      <c r="E13" s="11" t="s">
        <v>300</v>
      </c>
      <c r="F13" s="1" t="n">
        <v>209.52</v>
      </c>
      <c r="G13" s="11" t="s">
        <v>300</v>
      </c>
      <c r="H13" s="10" t="n">
        <f aca="false">SUM(I13,N13)/2</f>
        <v>0.738090821428572</v>
      </c>
      <c r="I13" s="10" t="n">
        <f aca="false">SUM(J13:M13)/4</f>
        <v>0.7179795</v>
      </c>
      <c r="J13" s="1" t="n">
        <v>0.834749</v>
      </c>
      <c r="K13" s="1" t="n">
        <v>0.886997</v>
      </c>
      <c r="L13" s="1" t="n">
        <v>0.187161</v>
      </c>
      <c r="M13" s="1" t="n">
        <v>0.963011</v>
      </c>
      <c r="N13" s="10" t="n">
        <f aca="false">SUM(O13:U13)/7</f>
        <v>0.758202142857143</v>
      </c>
      <c r="O13" s="1" t="n">
        <v>0.781824</v>
      </c>
      <c r="P13" s="1" t="n">
        <v>0.625884</v>
      </c>
      <c r="Q13" s="1" t="n">
        <v>0.605561</v>
      </c>
      <c r="R13" s="1" t="n">
        <v>0.769117</v>
      </c>
      <c r="S13" s="1" t="n">
        <v>0.662259</v>
      </c>
      <c r="T13" s="1" t="n">
        <v>0.997796</v>
      </c>
      <c r="U13" s="1" t="n">
        <v>0.864974</v>
      </c>
    </row>
    <row r="14" customFormat="false" ht="14.25" hidden="false" customHeight="false" outlineLevel="0" collapsed="false">
      <c r="A14" s="1" t="s">
        <v>299</v>
      </c>
      <c r="B14" s="9" t="s">
        <v>26</v>
      </c>
      <c r="C14" s="10" t="s">
        <v>23</v>
      </c>
      <c r="D14" s="10" t="s">
        <v>24</v>
      </c>
      <c r="E14" s="11" t="s">
        <v>300</v>
      </c>
      <c r="F14" s="1" t="n">
        <v>218.1</v>
      </c>
      <c r="G14" s="11" t="s">
        <v>300</v>
      </c>
      <c r="H14" s="10" t="n">
        <f aca="false">SUM(I14,N14)/2</f>
        <v>0.737445607142857</v>
      </c>
      <c r="I14" s="10" t="n">
        <f aca="false">SUM(J14:M14)/4</f>
        <v>0.7322495</v>
      </c>
      <c r="J14" s="1" t="n">
        <v>0.90301</v>
      </c>
      <c r="K14" s="1" t="n">
        <v>0.901503</v>
      </c>
      <c r="L14" s="1" t="n">
        <v>0.16919</v>
      </c>
      <c r="M14" s="1" t="n">
        <v>0.955295</v>
      </c>
      <c r="N14" s="10" t="n">
        <f aca="false">SUM(O14:U14)/7</f>
        <v>0.742641714285714</v>
      </c>
      <c r="O14" s="1" t="n">
        <v>0.762594</v>
      </c>
      <c r="P14" s="1" t="n">
        <v>0.566732</v>
      </c>
      <c r="Q14" s="1" t="n">
        <v>0.560779</v>
      </c>
      <c r="R14" s="1" t="n">
        <v>0.847892</v>
      </c>
      <c r="S14" s="1" t="n">
        <v>0.623484</v>
      </c>
      <c r="T14" s="1" t="n">
        <v>0.997605</v>
      </c>
      <c r="U14" s="1" t="n">
        <v>0.839406</v>
      </c>
    </row>
    <row r="15" customFormat="false" ht="14.25" hidden="false" customHeight="false" outlineLevel="0" collapsed="false">
      <c r="A15" s="1" t="s">
        <v>299</v>
      </c>
      <c r="B15" s="9" t="s">
        <v>72</v>
      </c>
      <c r="C15" s="10" t="s">
        <v>23</v>
      </c>
      <c r="D15" s="10" t="s">
        <v>24</v>
      </c>
      <c r="E15" s="11" t="s">
        <v>300</v>
      </c>
      <c r="F15" s="1" t="n">
        <v>230.66</v>
      </c>
      <c r="G15" s="11" t="s">
        <v>300</v>
      </c>
      <c r="H15" s="10" t="n">
        <f aca="false">SUM(I15,N15)/2</f>
        <v>0.737308678571429</v>
      </c>
      <c r="I15" s="10" t="n">
        <f aca="false">SUM(J15:M15)/4</f>
        <v>0.7219965</v>
      </c>
      <c r="J15" s="1" t="n">
        <v>0.851039</v>
      </c>
      <c r="K15" s="1" t="n">
        <v>0.899968</v>
      </c>
      <c r="L15" s="1" t="n">
        <v>0.176238</v>
      </c>
      <c r="M15" s="1" t="n">
        <v>0.960741</v>
      </c>
      <c r="N15" s="10" t="n">
        <f aca="false">SUM(O15:U15)/7</f>
        <v>0.752620857142857</v>
      </c>
      <c r="O15" s="1" t="n">
        <v>0.757661</v>
      </c>
      <c r="P15" s="1" t="n">
        <v>0.543006</v>
      </c>
      <c r="Q15" s="1" t="n">
        <v>0.588445</v>
      </c>
      <c r="R15" s="1" t="n">
        <v>0.852358</v>
      </c>
      <c r="S15" s="1" t="n">
        <v>0.672318</v>
      </c>
      <c r="T15" s="1" t="n">
        <v>0.99849</v>
      </c>
      <c r="U15" s="1" t="n">
        <v>0.856068</v>
      </c>
    </row>
    <row r="16" customFormat="false" ht="14.25" hidden="false" customHeight="false" outlineLevel="0" collapsed="false">
      <c r="A16" s="1" t="s">
        <v>299</v>
      </c>
      <c r="B16" s="9" t="s">
        <v>28</v>
      </c>
      <c r="C16" s="10" t="s">
        <v>23</v>
      </c>
      <c r="D16" s="10" t="s">
        <v>24</v>
      </c>
      <c r="E16" s="11" t="s">
        <v>300</v>
      </c>
      <c r="F16" s="1" t="n">
        <v>229.89</v>
      </c>
      <c r="G16" s="11" t="s">
        <v>300</v>
      </c>
      <c r="H16" s="10" t="n">
        <f aca="false">SUM(I16,N16)/2</f>
        <v>0.73725825</v>
      </c>
      <c r="I16" s="10" t="n">
        <f aca="false">SUM(J16:M16)/4</f>
        <v>0.7221955</v>
      </c>
      <c r="J16" s="1" t="n">
        <v>0.867263</v>
      </c>
      <c r="K16" s="1" t="n">
        <v>0.890231</v>
      </c>
      <c r="L16" s="1" t="n">
        <v>0.168347</v>
      </c>
      <c r="M16" s="1" t="n">
        <v>0.962941</v>
      </c>
      <c r="N16" s="10" t="n">
        <f aca="false">SUM(O16:U16)/7</f>
        <v>0.752321</v>
      </c>
      <c r="O16" s="1" t="n">
        <v>0.770597</v>
      </c>
      <c r="P16" s="1" t="n">
        <v>0.54903</v>
      </c>
      <c r="Q16" s="1" t="n">
        <v>0.58795</v>
      </c>
      <c r="R16" s="1" t="n">
        <v>0.849281</v>
      </c>
      <c r="S16" s="1" t="n">
        <v>0.659815</v>
      </c>
      <c r="T16" s="1" t="n">
        <v>0.997788</v>
      </c>
      <c r="U16" s="1" t="n">
        <v>0.851786</v>
      </c>
    </row>
    <row r="17" customFormat="false" ht="14.25" hidden="false" customHeight="false" outlineLevel="0" collapsed="false">
      <c r="A17" s="1" t="s">
        <v>299</v>
      </c>
      <c r="B17" s="9" t="s">
        <v>99</v>
      </c>
      <c r="C17" s="10" t="s">
        <v>23</v>
      </c>
      <c r="D17" s="10" t="s">
        <v>24</v>
      </c>
      <c r="E17" s="11" t="s">
        <v>300</v>
      </c>
      <c r="F17" s="1" t="n">
        <v>189.54</v>
      </c>
      <c r="G17" s="11" t="s">
        <v>300</v>
      </c>
      <c r="H17" s="10" t="n">
        <f aca="false">SUM(I17,N17)/2</f>
        <v>0.737059607142857</v>
      </c>
      <c r="I17" s="10" t="n">
        <f aca="false">SUM(J17:M17)/4</f>
        <v>0.7232675</v>
      </c>
      <c r="J17" s="1" t="n">
        <v>0.867463</v>
      </c>
      <c r="K17" s="1" t="n">
        <v>0.891746</v>
      </c>
      <c r="L17" s="1" t="n">
        <v>0.165902</v>
      </c>
      <c r="M17" s="1" t="n">
        <v>0.967959</v>
      </c>
      <c r="N17" s="10" t="n">
        <f aca="false">SUM(O17:U17)/7</f>
        <v>0.750851714285714</v>
      </c>
      <c r="O17" s="1" t="n">
        <v>0.765089</v>
      </c>
      <c r="P17" s="1" t="n">
        <v>0.551346</v>
      </c>
      <c r="Q17" s="1" t="n">
        <v>0.58856</v>
      </c>
      <c r="R17" s="1" t="n">
        <v>0.851809</v>
      </c>
      <c r="S17" s="1" t="n">
        <v>0.65279</v>
      </c>
      <c r="T17" s="1" t="n">
        <v>0.997977</v>
      </c>
      <c r="U17" s="1" t="n">
        <v>0.848391</v>
      </c>
    </row>
    <row r="18" customFormat="false" ht="14.25" hidden="false" customHeight="false" outlineLevel="0" collapsed="false">
      <c r="A18" s="1" t="s">
        <v>299</v>
      </c>
      <c r="B18" s="9" t="s">
        <v>101</v>
      </c>
      <c r="C18" s="10" t="s">
        <v>23</v>
      </c>
      <c r="D18" s="10" t="s">
        <v>35</v>
      </c>
      <c r="E18" s="11" t="s">
        <v>300</v>
      </c>
      <c r="F18" s="1" t="n">
        <v>243.11</v>
      </c>
      <c r="G18" s="11" t="s">
        <v>300</v>
      </c>
      <c r="H18" s="10" t="n">
        <f aca="false">SUM(I18,N18)/2</f>
        <v>0.736844857142857</v>
      </c>
      <c r="I18" s="10" t="n">
        <f aca="false">SUM(J18:M18)/4</f>
        <v>0.719385</v>
      </c>
      <c r="J18" s="1" t="n">
        <v>0.83094</v>
      </c>
      <c r="K18" s="1" t="n">
        <v>0.893052</v>
      </c>
      <c r="L18" s="1" t="n">
        <v>0.189188</v>
      </c>
      <c r="M18" s="1" t="n">
        <v>0.96436</v>
      </c>
      <c r="N18" s="10" t="n">
        <f aca="false">SUM(O18:U18)/7</f>
        <v>0.754304714285714</v>
      </c>
      <c r="O18" s="1" t="n">
        <v>0.765186</v>
      </c>
      <c r="P18" s="1" t="n">
        <v>0.596635</v>
      </c>
      <c r="Q18" s="1" t="n">
        <v>0.608232</v>
      </c>
      <c r="R18" s="1" t="n">
        <v>0.819694</v>
      </c>
      <c r="S18" s="1" t="n">
        <v>0.648286</v>
      </c>
      <c r="T18" s="1" t="n">
        <v>0.997588</v>
      </c>
      <c r="U18" s="1" t="n">
        <v>0.844512</v>
      </c>
    </row>
    <row r="19" customFormat="false" ht="14.25" hidden="false" customHeight="false" outlineLevel="0" collapsed="false">
      <c r="A19" s="1" t="s">
        <v>299</v>
      </c>
      <c r="B19" s="9" t="s">
        <v>57</v>
      </c>
      <c r="C19" s="10" t="s">
        <v>23</v>
      </c>
      <c r="D19" s="10" t="s">
        <v>35</v>
      </c>
      <c r="E19" s="11" t="s">
        <v>300</v>
      </c>
      <c r="F19" s="1" t="n">
        <v>240.06</v>
      </c>
      <c r="G19" s="11" t="s">
        <v>300</v>
      </c>
      <c r="H19" s="10" t="n">
        <f aca="false">SUM(I19,N19)/2</f>
        <v>0.736287107142857</v>
      </c>
      <c r="I19" s="10" t="n">
        <f aca="false">SUM(J19:M19)/4</f>
        <v>0.6968435</v>
      </c>
      <c r="J19" s="1" t="n">
        <v>0.849986</v>
      </c>
      <c r="K19" s="1" t="n">
        <v>0.886996</v>
      </c>
      <c r="L19" s="1" t="n">
        <v>0.156822</v>
      </c>
      <c r="M19" s="1" t="n">
        <v>0.89357</v>
      </c>
      <c r="N19" s="10" t="n">
        <f aca="false">SUM(O19:U19)/7</f>
        <v>0.775730714285714</v>
      </c>
      <c r="O19" s="1" t="n">
        <v>0.781878</v>
      </c>
      <c r="P19" s="1" t="n">
        <v>0.752675</v>
      </c>
      <c r="Q19" s="1" t="n">
        <v>0.584684</v>
      </c>
      <c r="R19" s="1" t="n">
        <v>0.779736</v>
      </c>
      <c r="S19" s="1" t="n">
        <v>0.655013</v>
      </c>
      <c r="T19" s="1" t="n">
        <v>0.998845</v>
      </c>
      <c r="U19" s="1" t="n">
        <v>0.877284</v>
      </c>
    </row>
    <row r="20" customFormat="false" ht="14.25" hidden="false" customHeight="false" outlineLevel="0" collapsed="false">
      <c r="A20" s="1" t="s">
        <v>299</v>
      </c>
      <c r="B20" s="9" t="s">
        <v>106</v>
      </c>
      <c r="C20" s="10" t="s">
        <v>23</v>
      </c>
      <c r="D20" s="10" t="s">
        <v>35</v>
      </c>
      <c r="E20" s="11" t="s">
        <v>300</v>
      </c>
      <c r="F20" s="1" t="n">
        <v>289.78</v>
      </c>
      <c r="G20" s="11" t="s">
        <v>300</v>
      </c>
      <c r="H20" s="10" t="n">
        <f aca="false">SUM(I20,N20)/2</f>
        <v>0.734614</v>
      </c>
      <c r="I20" s="10" t="n">
        <f aca="false">SUM(J20:M20)/4</f>
        <v>0.713476</v>
      </c>
      <c r="J20" s="1" t="n">
        <v>0.829254</v>
      </c>
      <c r="K20" s="1" t="n">
        <v>0.878634</v>
      </c>
      <c r="L20" s="1" t="n">
        <v>0.183305</v>
      </c>
      <c r="M20" s="1" t="n">
        <v>0.962711</v>
      </c>
      <c r="N20" s="10" t="n">
        <f aca="false">SUM(O20:U20)/7</f>
        <v>0.755752</v>
      </c>
      <c r="O20" s="1" t="n">
        <v>0.759588</v>
      </c>
      <c r="P20" s="1" t="n">
        <v>0.590166</v>
      </c>
      <c r="Q20" s="1" t="n">
        <v>0.603288</v>
      </c>
      <c r="R20" s="1" t="n">
        <v>0.840507</v>
      </c>
      <c r="S20" s="1" t="n">
        <v>0.646495</v>
      </c>
      <c r="T20" s="1" t="n">
        <v>0.997586</v>
      </c>
      <c r="U20" s="1" t="n">
        <v>0.852634</v>
      </c>
    </row>
    <row r="21" customFormat="false" ht="14.25" hidden="false" customHeight="false" outlineLevel="0" collapsed="false">
      <c r="A21" s="1" t="s">
        <v>299</v>
      </c>
      <c r="B21" s="9" t="s">
        <v>74</v>
      </c>
      <c r="C21" s="10" t="s">
        <v>23</v>
      </c>
      <c r="D21" s="10" t="s">
        <v>35</v>
      </c>
      <c r="E21" s="11" t="s">
        <v>300</v>
      </c>
      <c r="F21" s="1" t="n">
        <v>256.72</v>
      </c>
      <c r="G21" s="11" t="s">
        <v>300</v>
      </c>
      <c r="H21" s="10" t="n">
        <f aca="false">SUM(I21,N21)/2</f>
        <v>0.734382696428571</v>
      </c>
      <c r="I21" s="10" t="n">
        <f aca="false">SUM(J21:M21)/4</f>
        <v>0.71987325</v>
      </c>
      <c r="J21" s="1" t="n">
        <v>0.82313</v>
      </c>
      <c r="K21" s="1" t="n">
        <v>0.887691</v>
      </c>
      <c r="L21" s="1" t="n">
        <v>0.198655</v>
      </c>
      <c r="M21" s="1" t="n">
        <v>0.970017</v>
      </c>
      <c r="N21" s="10" t="n">
        <f aca="false">SUM(O21:U21)/7</f>
        <v>0.748892142857143</v>
      </c>
      <c r="O21" s="1" t="n">
        <v>0.758849</v>
      </c>
      <c r="P21" s="1" t="n">
        <v>0.590227</v>
      </c>
      <c r="Q21" s="1" t="n">
        <v>0.611147</v>
      </c>
      <c r="R21" s="1" t="n">
        <v>0.783228</v>
      </c>
      <c r="S21" s="1" t="n">
        <v>0.643362</v>
      </c>
      <c r="T21" s="1" t="n">
        <v>0.997298</v>
      </c>
      <c r="U21" s="1" t="n">
        <v>0.858134</v>
      </c>
    </row>
    <row r="22" customFormat="false" ht="14.25" hidden="false" customHeight="false" outlineLevel="0" collapsed="false">
      <c r="A22" s="1" t="s">
        <v>299</v>
      </c>
      <c r="B22" s="9" t="s">
        <v>57</v>
      </c>
      <c r="C22" s="10" t="s">
        <v>23</v>
      </c>
      <c r="D22" s="10" t="s">
        <v>24</v>
      </c>
      <c r="E22" s="11" t="s">
        <v>300</v>
      </c>
      <c r="F22" s="1" t="n">
        <v>256.1</v>
      </c>
      <c r="G22" s="11" t="s">
        <v>300</v>
      </c>
      <c r="H22" s="10" t="n">
        <f aca="false">SUM(I22,N22)/2</f>
        <v>0.734042232142857</v>
      </c>
      <c r="I22" s="10" t="n">
        <f aca="false">SUM(J22:M22)/4</f>
        <v>0.71460775</v>
      </c>
      <c r="J22" s="1" t="n">
        <v>0.855626</v>
      </c>
      <c r="K22" s="1" t="n">
        <v>0.891269</v>
      </c>
      <c r="L22" s="1" t="n">
        <v>0.158111</v>
      </c>
      <c r="M22" s="1" t="n">
        <v>0.953425</v>
      </c>
      <c r="N22" s="10" t="n">
        <f aca="false">SUM(O22:U22)/7</f>
        <v>0.753476714285714</v>
      </c>
      <c r="O22" s="1" t="n">
        <v>0.766012</v>
      </c>
      <c r="P22" s="1" t="n">
        <v>0.554105</v>
      </c>
      <c r="Q22" s="1" t="n">
        <v>0.584114</v>
      </c>
      <c r="R22" s="1" t="n">
        <v>0.84711</v>
      </c>
      <c r="S22" s="1" t="n">
        <v>0.672858</v>
      </c>
      <c r="T22" s="1" t="n">
        <v>0.998771</v>
      </c>
      <c r="U22" s="1" t="n">
        <v>0.851367</v>
      </c>
    </row>
    <row r="23" customFormat="false" ht="14.25" hidden="false" customHeight="false" outlineLevel="0" collapsed="false">
      <c r="A23" s="1" t="s">
        <v>299</v>
      </c>
      <c r="B23" s="9" t="s">
        <v>72</v>
      </c>
      <c r="C23" s="10" t="s">
        <v>23</v>
      </c>
      <c r="D23" s="10" t="s">
        <v>35</v>
      </c>
      <c r="E23" s="11" t="s">
        <v>300</v>
      </c>
      <c r="F23" s="1" t="n">
        <v>271.14</v>
      </c>
      <c r="G23" s="11" t="s">
        <v>300</v>
      </c>
      <c r="H23" s="10" t="n">
        <f aca="false">SUM(I23,N23)/2</f>
        <v>0.733913571428571</v>
      </c>
      <c r="I23" s="10" t="n">
        <f aca="false">SUM(J23:M23)/4</f>
        <v>0.713094</v>
      </c>
      <c r="J23" s="1" t="n">
        <v>0.840774</v>
      </c>
      <c r="K23" s="1" t="n">
        <v>0.903463</v>
      </c>
      <c r="L23" s="1" t="n">
        <v>0.170631</v>
      </c>
      <c r="M23" s="1" t="n">
        <v>0.937508</v>
      </c>
      <c r="N23" s="10" t="n">
        <f aca="false">SUM(O23:U23)/7</f>
        <v>0.754733142857143</v>
      </c>
      <c r="O23" s="1" t="n">
        <v>0.756326</v>
      </c>
      <c r="P23" s="1" t="n">
        <v>0.556926</v>
      </c>
      <c r="Q23" s="1" t="n">
        <v>0.590444</v>
      </c>
      <c r="R23" s="1" t="n">
        <v>0.854988</v>
      </c>
      <c r="S23" s="1" t="n">
        <v>0.668305</v>
      </c>
      <c r="T23" s="1" t="n">
        <v>0.998563</v>
      </c>
      <c r="U23" s="1" t="n">
        <v>0.85758</v>
      </c>
    </row>
    <row r="24" customFormat="false" ht="14.25" hidden="false" customHeight="false" outlineLevel="0" collapsed="false">
      <c r="A24" s="1" t="s">
        <v>299</v>
      </c>
      <c r="B24" s="9" t="s">
        <v>111</v>
      </c>
      <c r="C24" s="10" t="s">
        <v>23</v>
      </c>
      <c r="D24" s="10" t="s">
        <v>35</v>
      </c>
      <c r="E24" s="11" t="s">
        <v>300</v>
      </c>
      <c r="F24" s="1" t="n">
        <v>295.87</v>
      </c>
      <c r="G24" s="11" t="s">
        <v>300</v>
      </c>
      <c r="H24" s="10" t="n">
        <f aca="false">SUM(I24,N24)/2</f>
        <v>0.73381075</v>
      </c>
      <c r="I24" s="10" t="n">
        <f aca="false">SUM(J24:M24)/4</f>
        <v>0.7133195</v>
      </c>
      <c r="J24" s="1" t="n">
        <v>0.836309</v>
      </c>
      <c r="K24" s="1" t="n">
        <v>0.895033</v>
      </c>
      <c r="L24" s="1" t="n">
        <v>0.161702</v>
      </c>
      <c r="M24" s="1" t="n">
        <v>0.960234</v>
      </c>
      <c r="N24" s="10" t="n">
        <f aca="false">SUM(O24:U24)/7</f>
        <v>0.754302</v>
      </c>
      <c r="O24" s="1" t="n">
        <v>0.757794</v>
      </c>
      <c r="P24" s="1" t="n">
        <v>0.593298</v>
      </c>
      <c r="Q24" s="1" t="n">
        <v>0.597021</v>
      </c>
      <c r="R24" s="1" t="n">
        <v>0.824552</v>
      </c>
      <c r="S24" s="1" t="n">
        <v>0.643402</v>
      </c>
      <c r="T24" s="1" t="n">
        <v>0.997186</v>
      </c>
      <c r="U24" s="1" t="n">
        <v>0.866861</v>
      </c>
    </row>
    <row r="25" customFormat="false" ht="14.25" hidden="false" customHeight="false" outlineLevel="0" collapsed="false">
      <c r="A25" s="1" t="s">
        <v>299</v>
      </c>
      <c r="B25" s="9" t="s">
        <v>85</v>
      </c>
      <c r="C25" s="10" t="s">
        <v>23</v>
      </c>
      <c r="D25" s="10" t="s">
        <v>35</v>
      </c>
      <c r="E25" s="11" t="s">
        <v>300</v>
      </c>
      <c r="F25" s="1" t="n">
        <v>235.24</v>
      </c>
      <c r="G25" s="11" t="s">
        <v>300</v>
      </c>
      <c r="H25" s="10" t="n">
        <f aca="false">SUM(I25,N25)/2</f>
        <v>0.73328125</v>
      </c>
      <c r="I25" s="10" t="n">
        <f aca="false">SUM(J25:M25)/4</f>
        <v>0.7168515</v>
      </c>
      <c r="J25" s="1" t="n">
        <v>0.863187</v>
      </c>
      <c r="K25" s="1" t="n">
        <v>0.878649</v>
      </c>
      <c r="L25" s="1" t="n">
        <v>0.160231</v>
      </c>
      <c r="M25" s="1" t="n">
        <v>0.965339</v>
      </c>
      <c r="N25" s="10" t="n">
        <f aca="false">SUM(O25:U25)/7</f>
        <v>0.749711</v>
      </c>
      <c r="O25" s="1" t="n">
        <v>0.764201</v>
      </c>
      <c r="P25" s="1" t="n">
        <v>0.553884</v>
      </c>
      <c r="Q25" s="1" t="n">
        <v>0.589054</v>
      </c>
      <c r="R25" s="1" t="n">
        <v>0.837749</v>
      </c>
      <c r="S25" s="1" t="n">
        <v>0.65526</v>
      </c>
      <c r="T25" s="1" t="n">
        <v>0.99795</v>
      </c>
      <c r="U25" s="1" t="n">
        <v>0.849879</v>
      </c>
    </row>
    <row r="26" customFormat="false" ht="14.25" hidden="false" customHeight="false" outlineLevel="0" collapsed="false">
      <c r="A26" s="1" t="s">
        <v>299</v>
      </c>
      <c r="B26" s="9" t="s">
        <v>30</v>
      </c>
      <c r="C26" s="10" t="s">
        <v>23</v>
      </c>
      <c r="D26" s="10" t="s">
        <v>24</v>
      </c>
      <c r="E26" s="11" t="s">
        <v>300</v>
      </c>
      <c r="F26" s="1" t="n">
        <v>250.03</v>
      </c>
      <c r="G26" s="11" t="s">
        <v>300</v>
      </c>
      <c r="H26" s="10" t="n">
        <f aca="false">SUM(I26,N26)/2</f>
        <v>0.732535964285714</v>
      </c>
      <c r="I26" s="10" t="n">
        <f aca="false">SUM(J26:M26)/4</f>
        <v>0.7268135</v>
      </c>
      <c r="J26" s="1" t="n">
        <v>0.871184</v>
      </c>
      <c r="K26" s="1" t="n">
        <v>0.901961</v>
      </c>
      <c r="L26" s="1" t="n">
        <v>0.178897</v>
      </c>
      <c r="M26" s="1" t="n">
        <v>0.955212</v>
      </c>
      <c r="N26" s="10" t="n">
        <f aca="false">SUM(O26:U26)/7</f>
        <v>0.738258428571429</v>
      </c>
      <c r="O26" s="1" t="n">
        <v>0.767736</v>
      </c>
      <c r="P26" s="1" t="n">
        <v>0.574512</v>
      </c>
      <c r="Q26" s="1" t="n">
        <v>0.576133</v>
      </c>
      <c r="R26" s="1" t="n">
        <v>0.855938</v>
      </c>
      <c r="S26" s="1" t="n">
        <v>0.6626</v>
      </c>
      <c r="T26" s="1" t="n">
        <v>0.997487</v>
      </c>
      <c r="U26" s="1" t="n">
        <v>0.733403</v>
      </c>
    </row>
    <row r="27" customFormat="false" ht="14.25" hidden="false" customHeight="false" outlineLevel="0" collapsed="false">
      <c r="A27" s="1" t="s">
        <v>299</v>
      </c>
      <c r="B27" s="9" t="s">
        <v>55</v>
      </c>
      <c r="C27" s="10" t="s">
        <v>23</v>
      </c>
      <c r="D27" s="10" t="s">
        <v>24</v>
      </c>
      <c r="E27" s="11" t="s">
        <v>300</v>
      </c>
      <c r="F27" s="1" t="n">
        <v>263.65</v>
      </c>
      <c r="G27" s="11" t="s">
        <v>300</v>
      </c>
      <c r="H27" s="10" t="n">
        <f aca="false">SUM(I27,N27)/2</f>
        <v>0.732281803571429</v>
      </c>
      <c r="I27" s="10" t="n">
        <f aca="false">SUM(J27:M27)/4</f>
        <v>0.71141575</v>
      </c>
      <c r="J27" s="1" t="n">
        <v>0.837977</v>
      </c>
      <c r="K27" s="1" t="n">
        <v>0.903992</v>
      </c>
      <c r="L27" s="1" t="n">
        <v>0.159911</v>
      </c>
      <c r="M27" s="1" t="n">
        <v>0.943783</v>
      </c>
      <c r="N27" s="10" t="n">
        <f aca="false">SUM(O27:U27)/7</f>
        <v>0.753147857142857</v>
      </c>
      <c r="O27" s="1" t="n">
        <v>0.761323</v>
      </c>
      <c r="P27" s="1" t="n">
        <v>0.553844</v>
      </c>
      <c r="Q27" s="1" t="n">
        <v>0.598307</v>
      </c>
      <c r="R27" s="1" t="n">
        <v>0.837266</v>
      </c>
      <c r="S27" s="1" t="n">
        <v>0.66835</v>
      </c>
      <c r="T27" s="1" t="n">
        <v>0.99887</v>
      </c>
      <c r="U27" s="1" t="n">
        <v>0.854075</v>
      </c>
    </row>
    <row r="28" customFormat="false" ht="14.25" hidden="false" customHeight="false" outlineLevel="0" collapsed="false">
      <c r="A28" s="1" t="s">
        <v>299</v>
      </c>
      <c r="B28" s="9" t="s">
        <v>97</v>
      </c>
      <c r="C28" s="10" t="s">
        <v>23</v>
      </c>
      <c r="D28" s="10" t="s">
        <v>35</v>
      </c>
      <c r="E28" s="11" t="s">
        <v>300</v>
      </c>
      <c r="F28" s="1" t="n">
        <v>288.64</v>
      </c>
      <c r="G28" s="11" t="s">
        <v>300</v>
      </c>
      <c r="H28" s="10" t="n">
        <f aca="false">SUM(I28,N28)/2</f>
        <v>0.731084767857143</v>
      </c>
      <c r="I28" s="10" t="n">
        <f aca="false">SUM(J28:M28)/4</f>
        <v>0.71805825</v>
      </c>
      <c r="J28" s="1" t="n">
        <v>0.832877</v>
      </c>
      <c r="K28" s="1" t="n">
        <v>0.886729</v>
      </c>
      <c r="L28" s="1" t="n">
        <v>0.187812</v>
      </c>
      <c r="M28" s="1" t="n">
        <v>0.964815</v>
      </c>
      <c r="N28" s="10" t="n">
        <f aca="false">SUM(O28:U28)/7</f>
        <v>0.744111285714286</v>
      </c>
      <c r="O28" s="1" t="n">
        <v>0.763387</v>
      </c>
      <c r="P28" s="1" t="n">
        <v>0.594375</v>
      </c>
      <c r="Q28" s="1" t="n">
        <v>0.605596</v>
      </c>
      <c r="R28" s="1" t="n">
        <v>0.759718</v>
      </c>
      <c r="S28" s="1" t="n">
        <v>0.640812</v>
      </c>
      <c r="T28" s="1" t="n">
        <v>0.997144</v>
      </c>
      <c r="U28" s="1" t="n">
        <v>0.847747</v>
      </c>
    </row>
    <row r="29" customFormat="false" ht="14.25" hidden="false" customHeight="false" outlineLevel="0" collapsed="false">
      <c r="A29" s="1" t="s">
        <v>299</v>
      </c>
      <c r="B29" s="9" t="s">
        <v>106</v>
      </c>
      <c r="C29" s="10" t="s">
        <v>23</v>
      </c>
      <c r="D29" s="10" t="s">
        <v>24</v>
      </c>
      <c r="E29" s="11" t="s">
        <v>300</v>
      </c>
      <c r="F29" s="1" t="n">
        <v>266.05</v>
      </c>
      <c r="G29" s="11" t="s">
        <v>300</v>
      </c>
      <c r="H29" s="10" t="n">
        <f aca="false">SUM(I29,N29)/2</f>
        <v>0.729907607142857</v>
      </c>
      <c r="I29" s="10" t="n">
        <f aca="false">SUM(J29:M29)/4</f>
        <v>0.7107455</v>
      </c>
      <c r="J29" s="1" t="n">
        <v>0.817709</v>
      </c>
      <c r="K29" s="1" t="n">
        <v>0.897027</v>
      </c>
      <c r="L29" s="1" t="n">
        <v>0.203658</v>
      </c>
      <c r="M29" s="1" t="n">
        <v>0.924588</v>
      </c>
      <c r="N29" s="10" t="n">
        <f aca="false">SUM(O29:U29)/7</f>
        <v>0.749069714285714</v>
      </c>
      <c r="O29" s="1" t="n">
        <v>0.785614</v>
      </c>
      <c r="P29" s="1" t="n">
        <v>0.632407</v>
      </c>
      <c r="Q29" s="1" t="n">
        <v>0.614598</v>
      </c>
      <c r="R29" s="1" t="n">
        <v>0.837337</v>
      </c>
      <c r="S29" s="1" t="n">
        <v>0.665312</v>
      </c>
      <c r="T29" s="1" t="n">
        <v>0.997855</v>
      </c>
      <c r="U29" s="1" t="n">
        <v>0.710365</v>
      </c>
    </row>
    <row r="30" customFormat="false" ht="14.25" hidden="false" customHeight="false" outlineLevel="0" collapsed="false">
      <c r="A30" s="1" t="s">
        <v>299</v>
      </c>
      <c r="B30" s="9" t="s">
        <v>47</v>
      </c>
      <c r="C30" s="10" t="s">
        <v>23</v>
      </c>
      <c r="D30" s="10" t="s">
        <v>35</v>
      </c>
      <c r="E30" s="11" t="s">
        <v>300</v>
      </c>
      <c r="F30" s="1" t="n">
        <v>248.66</v>
      </c>
      <c r="G30" s="11" t="s">
        <v>300</v>
      </c>
      <c r="H30" s="10" t="n">
        <f aca="false">SUM(I30,N30)/2</f>
        <v>0.729475142857143</v>
      </c>
      <c r="I30" s="10" t="n">
        <f aca="false">SUM(J30:M30)/4</f>
        <v>0.708276</v>
      </c>
      <c r="J30" s="1" t="n">
        <v>0.855523</v>
      </c>
      <c r="K30" s="1" t="n">
        <v>0.895898</v>
      </c>
      <c r="L30" s="1" t="n">
        <v>0.152353</v>
      </c>
      <c r="M30" s="1" t="n">
        <v>0.92933</v>
      </c>
      <c r="N30" s="10" t="n">
        <f aca="false">SUM(O30:U30)/7</f>
        <v>0.750674285714286</v>
      </c>
      <c r="O30" s="1" t="n">
        <v>0.764799</v>
      </c>
      <c r="P30" s="1" t="n">
        <v>0.555144</v>
      </c>
      <c r="Q30" s="1" t="n">
        <v>0.586991</v>
      </c>
      <c r="R30" s="1" t="n">
        <v>0.814063</v>
      </c>
      <c r="S30" s="1" t="n">
        <v>0.66328</v>
      </c>
      <c r="T30" s="1" t="n">
        <v>0.998472</v>
      </c>
      <c r="U30" s="1" t="n">
        <v>0.871971</v>
      </c>
    </row>
    <row r="31" customFormat="false" ht="14.25" hidden="false" customHeight="false" outlineLevel="0" collapsed="false">
      <c r="A31" s="1" t="s">
        <v>299</v>
      </c>
      <c r="B31" s="9" t="s">
        <v>55</v>
      </c>
      <c r="C31" s="10" t="s">
        <v>23</v>
      </c>
      <c r="D31" s="10" t="s">
        <v>35</v>
      </c>
      <c r="E31" s="11" t="s">
        <v>300</v>
      </c>
      <c r="F31" s="1" t="n">
        <v>373.93</v>
      </c>
      <c r="G31" s="11" t="s">
        <v>300</v>
      </c>
      <c r="H31" s="10" t="n">
        <f aca="false">SUM(I31,N31)/2</f>
        <v>0.728740517857143</v>
      </c>
      <c r="I31" s="10" t="n">
        <f aca="false">SUM(J31:M31)/4</f>
        <v>0.70596575</v>
      </c>
      <c r="J31" s="1" t="n">
        <v>0.848485</v>
      </c>
      <c r="K31" s="1" t="n">
        <v>0.883346</v>
      </c>
      <c r="L31" s="1" t="n">
        <v>0.159597</v>
      </c>
      <c r="M31" s="1" t="n">
        <v>0.932435</v>
      </c>
      <c r="N31" s="10" t="n">
        <f aca="false">SUM(O31:U31)/7</f>
        <v>0.751515285714286</v>
      </c>
      <c r="O31" s="1" t="n">
        <v>0.750611</v>
      </c>
      <c r="P31" s="1" t="n">
        <v>0.536532</v>
      </c>
      <c r="Q31" s="1" t="n">
        <v>0.593007</v>
      </c>
      <c r="R31" s="1" t="n">
        <v>0.843855</v>
      </c>
      <c r="S31" s="1" t="n">
        <v>0.67266</v>
      </c>
      <c r="T31" s="1" t="n">
        <v>0.998519</v>
      </c>
      <c r="U31" s="1" t="n">
        <v>0.865423</v>
      </c>
    </row>
    <row r="32" customFormat="false" ht="14.25" hidden="false" customHeight="false" outlineLevel="0" collapsed="false">
      <c r="A32" s="1" t="s">
        <v>299</v>
      </c>
      <c r="B32" s="9" t="s">
        <v>26</v>
      </c>
      <c r="C32" s="10" t="s">
        <v>23</v>
      </c>
      <c r="D32" s="10" t="s">
        <v>35</v>
      </c>
      <c r="E32" s="11" t="s">
        <v>300</v>
      </c>
      <c r="F32" s="1" t="n">
        <v>232.66</v>
      </c>
      <c r="G32" s="11" t="s">
        <v>300</v>
      </c>
      <c r="H32" s="10" t="n">
        <f aca="false">SUM(I32,N32)/2</f>
        <v>0.728491339285714</v>
      </c>
      <c r="I32" s="10" t="n">
        <f aca="false">SUM(J32:M32)/4</f>
        <v>0.71482725</v>
      </c>
      <c r="J32" s="1" t="n">
        <v>0.891852</v>
      </c>
      <c r="K32" s="1" t="n">
        <v>0.88545</v>
      </c>
      <c r="L32" s="1" t="n">
        <v>0.136598</v>
      </c>
      <c r="M32" s="1" t="n">
        <v>0.945409</v>
      </c>
      <c r="N32" s="10" t="n">
        <f aca="false">SUM(O32:U32)/7</f>
        <v>0.742155428571429</v>
      </c>
      <c r="O32" s="1" t="n">
        <v>0.748369</v>
      </c>
      <c r="P32" s="1" t="n">
        <v>0.570477</v>
      </c>
      <c r="Q32" s="1" t="n">
        <v>0.564244</v>
      </c>
      <c r="R32" s="1" t="n">
        <v>0.836404</v>
      </c>
      <c r="S32" s="1" t="n">
        <v>0.628678</v>
      </c>
      <c r="T32" s="1" t="n">
        <v>0.998051</v>
      </c>
      <c r="U32" s="1" t="n">
        <v>0.848865</v>
      </c>
    </row>
    <row r="33" customFormat="false" ht="14.25" hidden="false" customHeight="false" outlineLevel="0" collapsed="false">
      <c r="A33" s="1" t="s">
        <v>299</v>
      </c>
      <c r="B33" s="9" t="s">
        <v>32</v>
      </c>
      <c r="C33" s="10" t="s">
        <v>23</v>
      </c>
      <c r="D33" s="10" t="s">
        <v>35</v>
      </c>
      <c r="E33" s="11" t="s">
        <v>300</v>
      </c>
      <c r="F33" s="1" t="n">
        <v>244.16</v>
      </c>
      <c r="G33" s="11" t="s">
        <v>300</v>
      </c>
      <c r="H33" s="10" t="n">
        <f aca="false">SUM(I33,N33)/2</f>
        <v>0.72838425</v>
      </c>
      <c r="I33" s="10" t="n">
        <f aca="false">SUM(J33:M33)/4</f>
        <v>0.7107745</v>
      </c>
      <c r="J33" s="1" t="n">
        <v>0.884671</v>
      </c>
      <c r="K33" s="1" t="n">
        <v>0.883324</v>
      </c>
      <c r="L33" s="1" t="n">
        <v>0.15083</v>
      </c>
      <c r="M33" s="1" t="n">
        <v>0.924273</v>
      </c>
      <c r="N33" s="10" t="n">
        <f aca="false">SUM(O33:U33)/7</f>
        <v>0.745994</v>
      </c>
      <c r="O33" s="1" t="n">
        <v>0.758751</v>
      </c>
      <c r="P33" s="1" t="n">
        <v>0.547764</v>
      </c>
      <c r="Q33" s="1" t="n">
        <v>0.574834</v>
      </c>
      <c r="R33" s="1" t="n">
        <v>0.845993</v>
      </c>
      <c r="S33" s="1" t="n">
        <v>0.643054</v>
      </c>
      <c r="T33" s="1" t="n">
        <v>0.998426</v>
      </c>
      <c r="U33" s="1" t="n">
        <v>0.853136</v>
      </c>
    </row>
    <row r="34" customFormat="false" ht="14.25" hidden="false" customHeight="false" outlineLevel="0" collapsed="false">
      <c r="A34" s="1" t="s">
        <v>299</v>
      </c>
      <c r="B34" s="9" t="s">
        <v>30</v>
      </c>
      <c r="C34" s="10" t="s">
        <v>23</v>
      </c>
      <c r="D34" s="10" t="s">
        <v>35</v>
      </c>
      <c r="E34" s="11" t="s">
        <v>300</v>
      </c>
      <c r="F34" s="1" t="n">
        <v>281.58</v>
      </c>
      <c r="G34" s="11" t="s">
        <v>300</v>
      </c>
      <c r="H34" s="10" t="n">
        <f aca="false">SUM(I34,N34)/2</f>
        <v>0.727433821428571</v>
      </c>
      <c r="I34" s="10" t="n">
        <f aca="false">SUM(J34:M34)/4</f>
        <v>0.7030955</v>
      </c>
      <c r="J34" s="1" t="n">
        <v>0.861119</v>
      </c>
      <c r="K34" s="1" t="n">
        <v>0.89795</v>
      </c>
      <c r="L34" s="1" t="n">
        <v>0.156629</v>
      </c>
      <c r="M34" s="1" t="n">
        <v>0.896684</v>
      </c>
      <c r="N34" s="10" t="n">
        <f aca="false">SUM(O34:U34)/7</f>
        <v>0.751772142857143</v>
      </c>
      <c r="O34" s="1" t="n">
        <v>0.7649</v>
      </c>
      <c r="P34" s="1" t="n">
        <v>0.55827</v>
      </c>
      <c r="Q34" s="1" t="n">
        <v>0.58389</v>
      </c>
      <c r="R34" s="1" t="n">
        <v>0.843894</v>
      </c>
      <c r="S34" s="1" t="n">
        <v>0.666126</v>
      </c>
      <c r="T34" s="1" t="n">
        <v>0.998561</v>
      </c>
      <c r="U34" s="1" t="n">
        <v>0.846764</v>
      </c>
    </row>
    <row r="35" customFormat="false" ht="14.25" hidden="false" customHeight="false" outlineLevel="0" collapsed="false">
      <c r="A35" s="1" t="s">
        <v>299</v>
      </c>
      <c r="B35" s="9" t="s">
        <v>59</v>
      </c>
      <c r="C35" s="10" t="s">
        <v>23</v>
      </c>
      <c r="D35" s="10" t="s">
        <v>35</v>
      </c>
      <c r="E35" s="11" t="s">
        <v>300</v>
      </c>
      <c r="F35" s="1" t="n">
        <v>267.01</v>
      </c>
      <c r="G35" s="11" t="s">
        <v>300</v>
      </c>
      <c r="H35" s="10" t="n">
        <f aca="false">SUM(I35,N35)/2</f>
        <v>0.726691482142857</v>
      </c>
      <c r="I35" s="10" t="n">
        <f aca="false">SUM(J35:M35)/4</f>
        <v>0.70914225</v>
      </c>
      <c r="J35" s="1" t="n">
        <v>0.838178</v>
      </c>
      <c r="K35" s="1" t="n">
        <v>0.892306</v>
      </c>
      <c r="L35" s="1" t="n">
        <v>0.168816</v>
      </c>
      <c r="M35" s="1" t="n">
        <v>0.937269</v>
      </c>
      <c r="N35" s="10" t="n">
        <f aca="false">SUM(O35:U35)/7</f>
        <v>0.744240714285714</v>
      </c>
      <c r="O35" s="1" t="n">
        <v>0.755399</v>
      </c>
      <c r="P35" s="1" t="n">
        <v>0.539593</v>
      </c>
      <c r="Q35" s="1" t="n">
        <v>0.600579</v>
      </c>
      <c r="R35" s="1" t="n">
        <v>0.784287</v>
      </c>
      <c r="S35" s="1" t="n">
        <v>0.671339</v>
      </c>
      <c r="T35" s="1" t="n">
        <v>0.998974</v>
      </c>
      <c r="U35" s="1" t="n">
        <v>0.859514</v>
      </c>
    </row>
    <row r="36" customFormat="false" ht="14.25" hidden="false" customHeight="false" outlineLevel="0" collapsed="false">
      <c r="A36" s="1" t="s">
        <v>299</v>
      </c>
      <c r="B36" s="9" t="s">
        <v>90</v>
      </c>
      <c r="C36" s="10" t="s">
        <v>23</v>
      </c>
      <c r="D36" s="10" t="s">
        <v>35</v>
      </c>
      <c r="E36" s="11" t="s">
        <v>300</v>
      </c>
      <c r="F36" s="1" t="n">
        <v>233.83</v>
      </c>
      <c r="G36" s="11" t="s">
        <v>300</v>
      </c>
      <c r="H36" s="10" t="n">
        <f aca="false">SUM(I36,N36)/2</f>
        <v>0.726643214285714</v>
      </c>
      <c r="I36" s="10" t="n">
        <f aca="false">SUM(J36:M36)/4</f>
        <v>0.716567</v>
      </c>
      <c r="J36" s="1" t="n">
        <v>0.840039</v>
      </c>
      <c r="K36" s="1" t="n">
        <v>0.880432</v>
      </c>
      <c r="L36" s="1" t="n">
        <v>0.182505</v>
      </c>
      <c r="M36" s="1" t="n">
        <v>0.963292</v>
      </c>
      <c r="N36" s="10" t="n">
        <f aca="false">SUM(O36:U36)/7</f>
        <v>0.736719428571429</v>
      </c>
      <c r="O36" s="1" t="n">
        <v>0.752214</v>
      </c>
      <c r="P36" s="1" t="n">
        <v>0.538706</v>
      </c>
      <c r="Q36" s="1" t="n">
        <v>0.602464</v>
      </c>
      <c r="R36" s="1" t="n">
        <v>0.766928</v>
      </c>
      <c r="S36" s="1" t="n">
        <v>0.632965</v>
      </c>
      <c r="T36" s="1" t="n">
        <v>0.997853</v>
      </c>
      <c r="U36" s="1" t="n">
        <v>0.865906</v>
      </c>
    </row>
    <row r="37" customFormat="false" ht="14.25" hidden="false" customHeight="false" outlineLevel="0" collapsed="false">
      <c r="A37" s="1" t="s">
        <v>299</v>
      </c>
      <c r="B37" s="9" t="s">
        <v>80</v>
      </c>
      <c r="C37" s="10" t="s">
        <v>23</v>
      </c>
      <c r="D37" s="10" t="s">
        <v>24</v>
      </c>
      <c r="E37" s="11" t="s">
        <v>300</v>
      </c>
      <c r="F37" s="1" t="n">
        <v>248.55</v>
      </c>
      <c r="G37" s="11" t="s">
        <v>300</v>
      </c>
      <c r="H37" s="10" t="n">
        <f aca="false">SUM(I37,N37)/2</f>
        <v>0.726410553571429</v>
      </c>
      <c r="I37" s="10" t="n">
        <f aca="false">SUM(J37:M37)/4</f>
        <v>0.71994425</v>
      </c>
      <c r="J37" s="1" t="n">
        <v>0.853524</v>
      </c>
      <c r="K37" s="1" t="n">
        <v>0.906262</v>
      </c>
      <c r="L37" s="1" t="n">
        <v>0.177888</v>
      </c>
      <c r="M37" s="1" t="n">
        <v>0.942103</v>
      </c>
      <c r="N37" s="10" t="n">
        <f aca="false">SUM(O37:U37)/7</f>
        <v>0.732876857142857</v>
      </c>
      <c r="O37" s="1" t="n">
        <v>0.757575</v>
      </c>
      <c r="P37" s="1" t="n">
        <v>0.555312</v>
      </c>
      <c r="Q37" s="1" t="n">
        <v>0.585651</v>
      </c>
      <c r="R37" s="1" t="n">
        <v>0.824407</v>
      </c>
      <c r="S37" s="1" t="n">
        <v>0.674744</v>
      </c>
      <c r="T37" s="1" t="n">
        <v>0.998688</v>
      </c>
      <c r="U37" s="1" t="n">
        <v>0.733761</v>
      </c>
    </row>
    <row r="38" customFormat="false" ht="14.25" hidden="false" customHeight="false" outlineLevel="0" collapsed="false">
      <c r="A38" s="1" t="s">
        <v>299</v>
      </c>
      <c r="B38" s="9" t="s">
        <v>62</v>
      </c>
      <c r="C38" s="10" t="s">
        <v>23</v>
      </c>
      <c r="D38" s="10" t="s">
        <v>35</v>
      </c>
      <c r="E38" s="11" t="s">
        <v>300</v>
      </c>
      <c r="F38" s="1" t="n">
        <v>242.98</v>
      </c>
      <c r="G38" s="11" t="s">
        <v>300</v>
      </c>
      <c r="H38" s="10" t="n">
        <f aca="false">SUM(I38,N38)/2</f>
        <v>0.726275642857143</v>
      </c>
      <c r="I38" s="10" t="n">
        <f aca="false">SUM(J38:M38)/4</f>
        <v>0.71038</v>
      </c>
      <c r="J38" s="1" t="n">
        <v>0.868481</v>
      </c>
      <c r="K38" s="1" t="n">
        <v>0.88698</v>
      </c>
      <c r="L38" s="1" t="n">
        <v>0.146518</v>
      </c>
      <c r="M38" s="1" t="n">
        <v>0.939541</v>
      </c>
      <c r="N38" s="10" t="n">
        <f aca="false">SUM(O38:U38)/7</f>
        <v>0.742171285714286</v>
      </c>
      <c r="O38" s="1" t="n">
        <v>0.744334</v>
      </c>
      <c r="P38" s="1" t="n">
        <v>0.513797</v>
      </c>
      <c r="Q38" s="1" t="n">
        <v>0.576172</v>
      </c>
      <c r="R38" s="1" t="n">
        <v>0.837081</v>
      </c>
      <c r="S38" s="1" t="n">
        <v>0.657304</v>
      </c>
      <c r="T38" s="1" t="n">
        <v>0.998485</v>
      </c>
      <c r="U38" s="1" t="n">
        <v>0.868026</v>
      </c>
    </row>
    <row r="39" customFormat="false" ht="14.25" hidden="false" customHeight="false" outlineLevel="0" collapsed="false">
      <c r="A39" s="1" t="s">
        <v>299</v>
      </c>
      <c r="B39" s="9" t="s">
        <v>77</v>
      </c>
      <c r="C39" s="10" t="s">
        <v>23</v>
      </c>
      <c r="D39" s="10" t="s">
        <v>35</v>
      </c>
      <c r="E39" s="11" t="s">
        <v>300</v>
      </c>
      <c r="F39" s="1" t="n">
        <v>237.45</v>
      </c>
      <c r="G39" s="11" t="s">
        <v>300</v>
      </c>
      <c r="H39" s="10" t="n">
        <f aca="false">SUM(I39,N39)/2</f>
        <v>0.725187196428571</v>
      </c>
      <c r="I39" s="10" t="n">
        <f aca="false">SUM(J39:M39)/4</f>
        <v>0.71381225</v>
      </c>
      <c r="J39" s="1" t="n">
        <v>0.849856</v>
      </c>
      <c r="K39" s="1" t="n">
        <v>0.891317</v>
      </c>
      <c r="L39" s="1" t="n">
        <v>0.159657</v>
      </c>
      <c r="M39" s="1" t="n">
        <v>0.954419</v>
      </c>
      <c r="N39" s="10" t="n">
        <f aca="false">SUM(O39:U39)/7</f>
        <v>0.736562142857143</v>
      </c>
      <c r="O39" s="1" t="n">
        <v>0.74718</v>
      </c>
      <c r="P39" s="1" t="n">
        <v>0.530668</v>
      </c>
      <c r="Q39" s="1" t="n">
        <v>0.593189</v>
      </c>
      <c r="R39" s="1" t="n">
        <v>0.76759</v>
      </c>
      <c r="S39" s="1" t="n">
        <v>0.67215</v>
      </c>
      <c r="T39" s="1" t="n">
        <v>0.998202</v>
      </c>
      <c r="U39" s="1" t="n">
        <v>0.846956</v>
      </c>
    </row>
    <row r="40" customFormat="false" ht="14.25" hidden="false" customHeight="false" outlineLevel="0" collapsed="false">
      <c r="A40" s="1" t="s">
        <v>299</v>
      </c>
      <c r="B40" s="9" t="s">
        <v>77</v>
      </c>
      <c r="C40" s="10" t="s">
        <v>23</v>
      </c>
      <c r="D40" s="10" t="s">
        <v>24</v>
      </c>
      <c r="E40" s="11" t="s">
        <v>300</v>
      </c>
      <c r="F40" s="1" t="n">
        <v>204.18</v>
      </c>
      <c r="G40" s="11" t="s">
        <v>300</v>
      </c>
      <c r="H40" s="10" t="n">
        <f aca="false">SUM(I40,N40)/2</f>
        <v>0.724751910714286</v>
      </c>
      <c r="I40" s="10" t="n">
        <f aca="false">SUM(J40:M40)/4</f>
        <v>0.72480325</v>
      </c>
      <c r="J40" s="1" t="n">
        <v>0.857514</v>
      </c>
      <c r="K40" s="1" t="n">
        <v>0.902279</v>
      </c>
      <c r="L40" s="1" t="n">
        <v>0.176793</v>
      </c>
      <c r="M40" s="1" t="n">
        <v>0.962627</v>
      </c>
      <c r="N40" s="10" t="n">
        <f aca="false">SUM(O40:U40)/7</f>
        <v>0.724700571428572</v>
      </c>
      <c r="O40" s="1" t="n">
        <v>0.765065</v>
      </c>
      <c r="P40" s="1" t="n">
        <v>0.555648</v>
      </c>
      <c r="Q40" s="1" t="n">
        <v>0.593203</v>
      </c>
      <c r="R40" s="1" t="n">
        <v>0.787268</v>
      </c>
      <c r="S40" s="1" t="n">
        <v>0.670863</v>
      </c>
      <c r="T40" s="1" t="n">
        <v>0.998074</v>
      </c>
      <c r="U40" s="1" t="n">
        <v>0.702783</v>
      </c>
    </row>
    <row r="41" customFormat="false" ht="14.25" hidden="false" customHeight="false" outlineLevel="0" collapsed="false">
      <c r="A41" s="1" t="s">
        <v>299</v>
      </c>
      <c r="B41" s="9" t="s">
        <v>80</v>
      </c>
      <c r="C41" s="10" t="s">
        <v>23</v>
      </c>
      <c r="D41" s="10" t="s">
        <v>35</v>
      </c>
      <c r="E41" s="11" t="s">
        <v>300</v>
      </c>
      <c r="F41" s="1" t="n">
        <v>250.13</v>
      </c>
      <c r="G41" s="11" t="s">
        <v>300</v>
      </c>
      <c r="H41" s="10" t="n">
        <f aca="false">SUM(I41,N41)/2</f>
        <v>0.724428482142857</v>
      </c>
      <c r="I41" s="10" t="n">
        <f aca="false">SUM(J41:M41)/4</f>
        <v>0.69979925</v>
      </c>
      <c r="J41" s="1" t="n">
        <v>0.849897</v>
      </c>
      <c r="K41" s="1" t="n">
        <v>0.894949</v>
      </c>
      <c r="L41" s="1" t="n">
        <v>0.161984</v>
      </c>
      <c r="M41" s="1" t="n">
        <v>0.892367</v>
      </c>
      <c r="N41" s="10" t="n">
        <f aca="false">SUM(O41:U41)/7</f>
        <v>0.749057714285714</v>
      </c>
      <c r="O41" s="1" t="n">
        <v>0.751161</v>
      </c>
      <c r="P41" s="1" t="n">
        <v>0.540484</v>
      </c>
      <c r="Q41" s="1" t="n">
        <v>0.588768</v>
      </c>
      <c r="R41" s="1" t="n">
        <v>0.826223</v>
      </c>
      <c r="S41" s="1" t="n">
        <v>0.675657</v>
      </c>
      <c r="T41" s="1" t="n">
        <v>0.998913</v>
      </c>
      <c r="U41" s="1" t="n">
        <v>0.862198</v>
      </c>
    </row>
    <row r="42" customFormat="false" ht="14.25" hidden="false" customHeight="false" outlineLevel="0" collapsed="false">
      <c r="A42" s="1" t="s">
        <v>299</v>
      </c>
      <c r="B42" s="9" t="s">
        <v>28</v>
      </c>
      <c r="C42" s="10" t="s">
        <v>23</v>
      </c>
      <c r="D42" s="10" t="s">
        <v>35</v>
      </c>
      <c r="E42" s="11" t="s">
        <v>300</v>
      </c>
      <c r="F42" s="1" t="n">
        <v>275.24</v>
      </c>
      <c r="G42" s="11" t="s">
        <v>300</v>
      </c>
      <c r="H42" s="10" t="n">
        <f aca="false">SUM(I42,N42)/2</f>
        <v>0.724420017857143</v>
      </c>
      <c r="I42" s="10" t="n">
        <f aca="false">SUM(J42:M42)/4</f>
        <v>0.70111975</v>
      </c>
      <c r="J42" s="1" t="n">
        <v>0.825097</v>
      </c>
      <c r="K42" s="1" t="n">
        <v>0.858194</v>
      </c>
      <c r="L42" s="1" t="n">
        <v>0.172032</v>
      </c>
      <c r="M42" s="1" t="n">
        <v>0.949156</v>
      </c>
      <c r="N42" s="10" t="n">
        <f aca="false">SUM(O42:U42)/7</f>
        <v>0.747720285714286</v>
      </c>
      <c r="O42" s="1" t="n">
        <v>0.751554</v>
      </c>
      <c r="P42" s="1" t="n">
        <v>0.537625</v>
      </c>
      <c r="Q42" s="1" t="n">
        <v>0.59376</v>
      </c>
      <c r="R42" s="1" t="n">
        <v>0.84267</v>
      </c>
      <c r="S42" s="1" t="n">
        <v>0.671547</v>
      </c>
      <c r="T42" s="1" t="n">
        <v>0.997986</v>
      </c>
      <c r="U42" s="1" t="n">
        <v>0.8389</v>
      </c>
    </row>
    <row r="43" customFormat="false" ht="14.25" hidden="false" customHeight="false" outlineLevel="0" collapsed="false">
      <c r="A43" s="1" t="s">
        <v>299</v>
      </c>
      <c r="B43" s="9" t="s">
        <v>39</v>
      </c>
      <c r="C43" s="10" t="s">
        <v>23</v>
      </c>
      <c r="D43" s="10" t="s">
        <v>35</v>
      </c>
      <c r="E43" s="11" t="s">
        <v>300</v>
      </c>
      <c r="F43" s="1" t="n">
        <v>251.58</v>
      </c>
      <c r="G43" s="11" t="s">
        <v>300</v>
      </c>
      <c r="H43" s="10" t="n">
        <f aca="false">SUM(I43,N43)/2</f>
        <v>0.724051339285714</v>
      </c>
      <c r="I43" s="10" t="n">
        <f aca="false">SUM(J43:M43)/4</f>
        <v>0.70220725</v>
      </c>
      <c r="J43" s="1" t="n">
        <v>0.888621</v>
      </c>
      <c r="K43" s="1" t="n">
        <v>0.863854</v>
      </c>
      <c r="L43" s="1" t="n">
        <v>0.142172</v>
      </c>
      <c r="M43" s="1" t="n">
        <v>0.914182</v>
      </c>
      <c r="N43" s="10" t="n">
        <f aca="false">SUM(O43:U43)/7</f>
        <v>0.745895428571428</v>
      </c>
      <c r="O43" s="1" t="n">
        <v>0.757127</v>
      </c>
      <c r="P43" s="1" t="n">
        <v>0.560785</v>
      </c>
      <c r="Q43" s="1" t="n">
        <v>0.567269</v>
      </c>
      <c r="R43" s="1" t="n">
        <v>0.837637</v>
      </c>
      <c r="S43" s="1" t="n">
        <v>0.638768</v>
      </c>
      <c r="T43" s="1" t="n">
        <v>0.998174</v>
      </c>
      <c r="U43" s="1" t="n">
        <v>0.861508</v>
      </c>
    </row>
    <row r="44" customFormat="false" ht="14.25" hidden="false" customHeight="false" outlineLevel="0" collapsed="false">
      <c r="A44" s="1" t="s">
        <v>299</v>
      </c>
      <c r="B44" s="9" t="s">
        <v>99</v>
      </c>
      <c r="C44" s="10" t="s">
        <v>23</v>
      </c>
      <c r="D44" s="10" t="s">
        <v>35</v>
      </c>
      <c r="E44" s="11" t="s">
        <v>300</v>
      </c>
      <c r="F44" s="1" t="n">
        <v>253.82</v>
      </c>
      <c r="G44" s="11" t="s">
        <v>300</v>
      </c>
      <c r="H44" s="10" t="n">
        <f aca="false">SUM(I44,N44)/2</f>
        <v>0.722788303571429</v>
      </c>
      <c r="I44" s="10" t="n">
        <f aca="false">SUM(J44:M44)/4</f>
        <v>0.70282975</v>
      </c>
      <c r="J44" s="1" t="n">
        <v>0.85634</v>
      </c>
      <c r="K44" s="1" t="n">
        <v>0.880267</v>
      </c>
      <c r="L44" s="1" t="n">
        <v>0.14224</v>
      </c>
      <c r="M44" s="1" t="n">
        <v>0.932472</v>
      </c>
      <c r="N44" s="10" t="n">
        <f aca="false">SUM(O44:U44)/7</f>
        <v>0.742746857142857</v>
      </c>
      <c r="O44" s="1" t="n">
        <v>0.757028</v>
      </c>
      <c r="P44" s="1" t="n">
        <v>0.552655</v>
      </c>
      <c r="Q44" s="1" t="n">
        <v>0.588284</v>
      </c>
      <c r="R44" s="1" t="n">
        <v>0.797661</v>
      </c>
      <c r="S44" s="1" t="n">
        <v>0.656634</v>
      </c>
      <c r="T44" s="1" t="n">
        <v>0.998397</v>
      </c>
      <c r="U44" s="1" t="n">
        <v>0.848569</v>
      </c>
    </row>
    <row r="45" customFormat="false" ht="14.25" hidden="false" customHeight="false" outlineLevel="0" collapsed="false">
      <c r="A45" s="1" t="s">
        <v>299</v>
      </c>
      <c r="B45" s="9" t="s">
        <v>64</v>
      </c>
      <c r="C45" s="10" t="s">
        <v>23</v>
      </c>
      <c r="D45" s="10" t="s">
        <v>24</v>
      </c>
      <c r="E45" s="11" t="s">
        <v>300</v>
      </c>
      <c r="F45" s="1" t="n">
        <v>242.88</v>
      </c>
      <c r="G45" s="11" t="s">
        <v>300</v>
      </c>
      <c r="H45" s="10" t="n">
        <f aca="false">SUM(I45,N45)/2</f>
        <v>0.722784767857143</v>
      </c>
      <c r="I45" s="10" t="n">
        <f aca="false">SUM(J45:M45)/4</f>
        <v>0.70322025</v>
      </c>
      <c r="J45" s="1" t="n">
        <v>0.815482</v>
      </c>
      <c r="K45" s="1" t="n">
        <v>0.878816</v>
      </c>
      <c r="L45" s="1" t="n">
        <v>0.183769</v>
      </c>
      <c r="M45" s="1" t="n">
        <v>0.934814</v>
      </c>
      <c r="N45" s="10" t="n">
        <f aca="false">SUM(O45:U45)/7</f>
        <v>0.742349285714286</v>
      </c>
      <c r="O45" s="1" t="n">
        <v>0.759823</v>
      </c>
      <c r="P45" s="1" t="n">
        <v>0.547678</v>
      </c>
      <c r="Q45" s="1" t="n">
        <v>0.598822</v>
      </c>
      <c r="R45" s="1" t="n">
        <v>0.847805</v>
      </c>
      <c r="S45" s="1" t="n">
        <v>0.682823</v>
      </c>
      <c r="T45" s="1" t="n">
        <v>0.99886</v>
      </c>
      <c r="U45" s="1" t="n">
        <v>0.760634</v>
      </c>
    </row>
    <row r="46" customFormat="false" ht="14.25" hidden="false" customHeight="false" outlineLevel="0" collapsed="false">
      <c r="A46" s="1" t="s">
        <v>299</v>
      </c>
      <c r="B46" s="9" t="s">
        <v>49</v>
      </c>
      <c r="C46" s="10" t="s">
        <v>23</v>
      </c>
      <c r="D46" s="10" t="s">
        <v>35</v>
      </c>
      <c r="E46" s="11" t="s">
        <v>300</v>
      </c>
      <c r="F46" s="1" t="n">
        <v>258.34</v>
      </c>
      <c r="G46" s="11" t="s">
        <v>300</v>
      </c>
      <c r="H46" s="10" t="n">
        <f aca="false">SUM(I46,N46)/2</f>
        <v>0.720124339285714</v>
      </c>
      <c r="I46" s="10" t="n">
        <f aca="false">SUM(J46:M46)/4</f>
        <v>0.70870025</v>
      </c>
      <c r="J46" s="1" t="n">
        <v>0.861891</v>
      </c>
      <c r="K46" s="1" t="n">
        <v>0.900737</v>
      </c>
      <c r="L46" s="1" t="n">
        <v>0.140699</v>
      </c>
      <c r="M46" s="1" t="n">
        <v>0.931474</v>
      </c>
      <c r="N46" s="10" t="n">
        <f aca="false">SUM(O46:U46)/7</f>
        <v>0.731548428571429</v>
      </c>
      <c r="O46" s="1" t="n">
        <v>0.743487</v>
      </c>
      <c r="P46" s="1" t="n">
        <v>0.512068</v>
      </c>
      <c r="Q46" s="1" t="n">
        <v>0.578238</v>
      </c>
      <c r="R46" s="1" t="n">
        <v>0.78028</v>
      </c>
      <c r="S46" s="1" t="n">
        <v>0.654583</v>
      </c>
      <c r="T46" s="1" t="n">
        <v>0.998476</v>
      </c>
      <c r="U46" s="1" t="n">
        <v>0.853707</v>
      </c>
    </row>
    <row r="47" customFormat="false" ht="14.25" hidden="false" customHeight="false" outlineLevel="0" collapsed="false">
      <c r="A47" s="1" t="s">
        <v>299</v>
      </c>
      <c r="B47" s="9" t="s">
        <v>69</v>
      </c>
      <c r="C47" s="10" t="s">
        <v>23</v>
      </c>
      <c r="D47" s="10" t="s">
        <v>35</v>
      </c>
      <c r="E47" s="11" t="s">
        <v>300</v>
      </c>
      <c r="F47" s="1" t="n">
        <v>296.17</v>
      </c>
      <c r="G47" s="11" t="s">
        <v>300</v>
      </c>
      <c r="H47" s="10" t="n">
        <f aca="false">SUM(I47,N47)/2</f>
        <v>0.719683517857143</v>
      </c>
      <c r="I47" s="10" t="n">
        <f aca="false">SUM(J47:M47)/4</f>
        <v>0.70703575</v>
      </c>
      <c r="J47" s="1" t="n">
        <v>0.850155</v>
      </c>
      <c r="K47" s="1" t="n">
        <v>0.899379</v>
      </c>
      <c r="L47" s="1" t="n">
        <v>0.161335</v>
      </c>
      <c r="M47" s="1" t="n">
        <v>0.917274</v>
      </c>
      <c r="N47" s="10" t="n">
        <f aca="false">SUM(O47:U47)/7</f>
        <v>0.732331285714286</v>
      </c>
      <c r="O47" s="1" t="n">
        <v>0.740216</v>
      </c>
      <c r="P47" s="1" t="n">
        <v>0.507765</v>
      </c>
      <c r="Q47" s="1" t="n">
        <v>0.577513</v>
      </c>
      <c r="R47" s="1" t="n">
        <v>0.800062</v>
      </c>
      <c r="S47" s="1" t="n">
        <v>0.670119</v>
      </c>
      <c r="T47" s="1" t="n">
        <v>0.998649</v>
      </c>
      <c r="U47" s="1" t="n">
        <v>0.831995</v>
      </c>
    </row>
    <row r="48" customFormat="false" ht="14.25" hidden="false" customHeight="false" outlineLevel="0" collapsed="false">
      <c r="A48" s="1" t="s">
        <v>299</v>
      </c>
      <c r="B48" s="9" t="s">
        <v>90</v>
      </c>
      <c r="C48" s="10" t="s">
        <v>23</v>
      </c>
      <c r="D48" s="10" t="s">
        <v>24</v>
      </c>
      <c r="E48" s="11" t="s">
        <v>300</v>
      </c>
      <c r="F48" s="1" t="n">
        <v>184.74</v>
      </c>
      <c r="G48" s="11" t="s">
        <v>300</v>
      </c>
      <c r="H48" s="10" t="n">
        <f aca="false">SUM(I48,N48)/2</f>
        <v>0.711236660714286</v>
      </c>
      <c r="I48" s="10" t="n">
        <f aca="false">SUM(J48:M48)/4</f>
        <v>0.68715375</v>
      </c>
      <c r="J48" s="1" t="n">
        <v>0.837115</v>
      </c>
      <c r="K48" s="1" t="n">
        <v>0.815039</v>
      </c>
      <c r="L48" s="1" t="n">
        <v>0.162733</v>
      </c>
      <c r="M48" s="1" t="n">
        <v>0.933728</v>
      </c>
      <c r="N48" s="10" t="n">
        <f aca="false">SUM(O48:U48)/7</f>
        <v>0.735319571428572</v>
      </c>
      <c r="O48" s="1" t="n">
        <v>0.747754</v>
      </c>
      <c r="P48" s="1" t="n">
        <v>0.536257</v>
      </c>
      <c r="Q48" s="1" t="n">
        <v>0.596462</v>
      </c>
      <c r="R48" s="1" t="n">
        <v>0.791011</v>
      </c>
      <c r="S48" s="1" t="n">
        <v>0.609674</v>
      </c>
      <c r="T48" s="1" t="n">
        <v>0.997055</v>
      </c>
      <c r="U48" s="1" t="n">
        <v>0.869024</v>
      </c>
    </row>
    <row r="49" customFormat="false" ht="14.25" hidden="false" customHeight="false" outlineLevel="0" collapsed="false">
      <c r="A49" s="1" t="s">
        <v>299</v>
      </c>
      <c r="B49" s="9" t="s">
        <v>32</v>
      </c>
      <c r="C49" s="10" t="s">
        <v>23</v>
      </c>
      <c r="D49" s="10" t="s">
        <v>24</v>
      </c>
      <c r="E49" s="11" t="s">
        <v>300</v>
      </c>
      <c r="F49" s="1" t="n">
        <v>232.8</v>
      </c>
      <c r="G49" s="11" t="s">
        <v>300</v>
      </c>
      <c r="H49" s="10" t="n">
        <f aca="false">SUM(I49,N49)/2</f>
        <v>0.709819839285714</v>
      </c>
      <c r="I49" s="10" t="n">
        <f aca="false">SUM(J49:M49)/4</f>
        <v>0.67169825</v>
      </c>
      <c r="J49" s="1" t="n">
        <v>0.856471</v>
      </c>
      <c r="K49" s="1" t="n">
        <v>0.762918</v>
      </c>
      <c r="L49" s="1" t="n">
        <v>0.151012</v>
      </c>
      <c r="M49" s="1" t="n">
        <v>0.916392</v>
      </c>
      <c r="N49" s="10" t="n">
        <f aca="false">SUM(O49:U49)/7</f>
        <v>0.747941428571429</v>
      </c>
      <c r="O49" s="1" t="n">
        <v>0.757651</v>
      </c>
      <c r="P49" s="1" t="n">
        <v>0.540861</v>
      </c>
      <c r="Q49" s="1" t="n">
        <v>0.597123</v>
      </c>
      <c r="R49" s="1" t="n">
        <v>0.851227</v>
      </c>
      <c r="S49" s="1" t="n">
        <v>0.641432</v>
      </c>
      <c r="T49" s="1" t="n">
        <v>0.998734</v>
      </c>
      <c r="U49" s="1" t="n">
        <v>0.848562</v>
      </c>
    </row>
    <row r="50" customFormat="false" ht="14.25" hidden="false" customHeight="false" outlineLevel="0" collapsed="false">
      <c r="A50" s="1" t="s">
        <v>299</v>
      </c>
      <c r="B50" s="9" t="s">
        <v>85</v>
      </c>
      <c r="C50" s="10" t="s">
        <v>23</v>
      </c>
      <c r="D50" s="10" t="s">
        <v>24</v>
      </c>
      <c r="E50" s="11" t="s">
        <v>300</v>
      </c>
      <c r="F50" s="1" t="n">
        <v>213.3</v>
      </c>
      <c r="G50" s="11" t="s">
        <v>300</v>
      </c>
      <c r="H50" s="10" t="n">
        <f aca="false">SUM(I50,N50)/2</f>
        <v>0.704960053571429</v>
      </c>
      <c r="I50" s="10" t="n">
        <f aca="false">SUM(J50:M50)/4</f>
        <v>0.66498525</v>
      </c>
      <c r="J50" s="1" t="n">
        <v>0.842481</v>
      </c>
      <c r="K50" s="1" t="n">
        <v>0.761373</v>
      </c>
      <c r="L50" s="1" t="n">
        <v>0.139214</v>
      </c>
      <c r="M50" s="1" t="n">
        <v>0.916873</v>
      </c>
      <c r="N50" s="10" t="n">
        <f aca="false">SUM(O50:U50)/7</f>
        <v>0.744934857142857</v>
      </c>
      <c r="O50" s="1" t="n">
        <v>0.762243</v>
      </c>
      <c r="P50" s="1" t="n">
        <v>0.544835</v>
      </c>
      <c r="Q50" s="1" t="n">
        <v>0.59581</v>
      </c>
      <c r="R50" s="1" t="n">
        <v>0.830713</v>
      </c>
      <c r="S50" s="1" t="n">
        <v>0.635086</v>
      </c>
      <c r="T50" s="1" t="n">
        <v>0.997621</v>
      </c>
      <c r="U50" s="1" t="n">
        <v>0.848236</v>
      </c>
    </row>
    <row r="51" customFormat="false" ht="14.25" hidden="false" customHeight="false" outlineLevel="0" collapsed="false">
      <c r="A51" s="1" t="s">
        <v>299</v>
      </c>
      <c r="B51" s="9" t="s">
        <v>69</v>
      </c>
      <c r="C51" s="10" t="s">
        <v>23</v>
      </c>
      <c r="D51" s="10" t="s">
        <v>24</v>
      </c>
      <c r="E51" s="11" t="s">
        <v>300</v>
      </c>
      <c r="F51" s="1" t="n">
        <v>201.39</v>
      </c>
      <c r="G51" s="11" t="s">
        <v>300</v>
      </c>
      <c r="H51" s="10" t="n">
        <f aca="false">SUM(I51,N51)/2</f>
        <v>0.695243392857143</v>
      </c>
      <c r="I51" s="10" t="n">
        <f aca="false">SUM(J51:M51)/4</f>
        <v>0.6823775</v>
      </c>
      <c r="J51" s="1" t="n">
        <v>0.808942</v>
      </c>
      <c r="K51" s="1" t="n">
        <v>0.833064</v>
      </c>
      <c r="L51" s="1" t="n">
        <v>0.180476</v>
      </c>
      <c r="M51" s="1" t="n">
        <v>0.907028</v>
      </c>
      <c r="N51" s="10" t="n">
        <f aca="false">SUM(O51:U51)/7</f>
        <v>0.708109285714286</v>
      </c>
      <c r="O51" s="1" t="n">
        <v>0.685477</v>
      </c>
      <c r="P51" s="1" t="n">
        <v>0.441953</v>
      </c>
      <c r="Q51" s="1" t="n">
        <v>0.575599</v>
      </c>
      <c r="R51" s="1" t="n">
        <v>0.76266</v>
      </c>
      <c r="S51" s="1" t="n">
        <v>0.626953</v>
      </c>
      <c r="T51" s="1" t="n">
        <v>0.989534</v>
      </c>
      <c r="U51" s="1" t="n">
        <v>0.874589</v>
      </c>
    </row>
    <row r="52" customFormat="false" ht="14.25" hidden="false" customHeight="false" outlineLevel="0" collapsed="false">
      <c r="A52" s="1" t="s">
        <v>299</v>
      </c>
      <c r="B52" s="9" t="s">
        <v>22</v>
      </c>
      <c r="C52" s="10" t="s">
        <v>23</v>
      </c>
      <c r="D52" s="10" t="s">
        <v>35</v>
      </c>
      <c r="E52" s="11" t="s">
        <v>300</v>
      </c>
      <c r="F52" s="1" t="n">
        <v>261.33</v>
      </c>
      <c r="G52" s="11" t="s">
        <v>300</v>
      </c>
      <c r="H52" s="10" t="n">
        <f aca="false">SUM(I52,N52)/2</f>
        <v>0.691926857142857</v>
      </c>
      <c r="I52" s="10" t="n">
        <f aca="false">SUM(J52:M52)/4</f>
        <v>0.661078</v>
      </c>
      <c r="J52" s="1" t="n">
        <v>0.819679</v>
      </c>
      <c r="K52" s="1" t="n">
        <v>0.77632</v>
      </c>
      <c r="L52" s="1" t="n">
        <v>0.15276</v>
      </c>
      <c r="M52" s="1" t="n">
        <v>0.895553</v>
      </c>
      <c r="N52" s="10" t="n">
        <f aca="false">SUM(O52:U52)/7</f>
        <v>0.722775714285714</v>
      </c>
      <c r="O52" s="1" t="n">
        <v>0.712464</v>
      </c>
      <c r="P52" s="1" t="n">
        <v>0.483378</v>
      </c>
      <c r="Q52" s="1" t="n">
        <v>0.576755</v>
      </c>
      <c r="R52" s="1" t="n">
        <v>0.829073</v>
      </c>
      <c r="S52" s="1" t="n">
        <v>0.607525</v>
      </c>
      <c r="T52" s="1" t="n">
        <v>0.99533</v>
      </c>
      <c r="U52" s="1" t="n">
        <v>0.854905</v>
      </c>
    </row>
    <row r="53" customFormat="false" ht="14.25" hidden="false" customHeight="false" outlineLevel="0" collapsed="false">
      <c r="A53" s="1" t="s">
        <v>299</v>
      </c>
      <c r="B53" s="9" t="s">
        <v>43</v>
      </c>
      <c r="C53" s="10" t="s">
        <v>23</v>
      </c>
      <c r="D53" s="10" t="s">
        <v>24</v>
      </c>
      <c r="E53" s="11" t="s">
        <v>300</v>
      </c>
      <c r="F53" s="1" t="n">
        <v>204.32</v>
      </c>
      <c r="G53" s="11" t="s">
        <v>300</v>
      </c>
      <c r="H53" s="10" t="n">
        <f aca="false">SUM(I53,N53)/2</f>
        <v>0.691221</v>
      </c>
      <c r="I53" s="10" t="n">
        <f aca="false">SUM(J53:M53)/4</f>
        <v>0.678358</v>
      </c>
      <c r="J53" s="1" t="n">
        <v>0.788325</v>
      </c>
      <c r="K53" s="1" t="n">
        <v>0.855271</v>
      </c>
      <c r="L53" s="1" t="n">
        <v>0.171665</v>
      </c>
      <c r="M53" s="1" t="n">
        <v>0.898171</v>
      </c>
      <c r="N53" s="10" t="n">
        <f aca="false">SUM(O53:U53)/7</f>
        <v>0.704084</v>
      </c>
      <c r="O53" s="1" t="n">
        <v>0.704107</v>
      </c>
      <c r="P53" s="1" t="n">
        <v>0.456983</v>
      </c>
      <c r="Q53" s="1" t="n">
        <v>0.587831</v>
      </c>
      <c r="R53" s="1" t="n">
        <v>0.721058</v>
      </c>
      <c r="S53" s="1" t="n">
        <v>0.59343</v>
      </c>
      <c r="T53" s="1" t="n">
        <v>0.994318</v>
      </c>
      <c r="U53" s="1" t="n">
        <v>0.870861</v>
      </c>
    </row>
    <row r="54" customFormat="false" ht="14.25" hidden="false" customHeight="false" outlineLevel="0" collapsed="false">
      <c r="A54" s="1" t="s">
        <v>299</v>
      </c>
      <c r="B54" s="9" t="s">
        <v>64</v>
      </c>
      <c r="C54" s="10" t="s">
        <v>23</v>
      </c>
      <c r="D54" s="10" t="s">
        <v>35</v>
      </c>
      <c r="E54" s="11" t="s">
        <v>300</v>
      </c>
      <c r="F54" s="1" t="n">
        <v>335.2</v>
      </c>
      <c r="G54" s="11" t="s">
        <v>300</v>
      </c>
      <c r="H54" s="10" t="n">
        <f aca="false">SUM(I54,N54)/2</f>
        <v>0.688709607142857</v>
      </c>
      <c r="I54" s="10" t="n">
        <f aca="false">SUM(J54:M54)/4</f>
        <v>0.7007565</v>
      </c>
      <c r="J54" s="1" t="n">
        <v>0.854273</v>
      </c>
      <c r="K54" s="1" t="n">
        <v>0.882729</v>
      </c>
      <c r="L54" s="1" t="n">
        <v>0.146488</v>
      </c>
      <c r="M54" s="1" t="n">
        <v>0.919536</v>
      </c>
      <c r="N54" s="10" t="n">
        <f aca="false">SUM(O54:U54)/7</f>
        <v>0.676662714285714</v>
      </c>
      <c r="O54" s="1" t="n">
        <v>0.757697</v>
      </c>
      <c r="P54" s="1" t="n">
        <v>0.557375</v>
      </c>
      <c r="Q54" s="1" t="n">
        <v>0.579743</v>
      </c>
      <c r="R54" s="1" t="n">
        <v>0.834657</v>
      </c>
      <c r="S54" s="1" t="n">
        <v>0.667057</v>
      </c>
      <c r="T54" s="1" t="n">
        <v>0.998586</v>
      </c>
      <c r="U54" s="1" t="n">
        <v>0.341524</v>
      </c>
    </row>
    <row r="55" customFormat="false" ht="14.25" hidden="false" customHeight="false" outlineLevel="0" collapsed="false">
      <c r="A55" s="1" t="s">
        <v>299</v>
      </c>
      <c r="B55" s="9" t="s">
        <v>34</v>
      </c>
      <c r="C55" s="10" t="s">
        <v>23</v>
      </c>
      <c r="D55" s="10" t="s">
        <v>35</v>
      </c>
      <c r="E55" s="11" t="s">
        <v>300</v>
      </c>
      <c r="F55" s="1" t="n">
        <v>249.36</v>
      </c>
      <c r="G55" s="11" t="s">
        <v>300</v>
      </c>
      <c r="H55" s="10" t="n">
        <f aca="false">SUM(I55,N55)/2</f>
        <v>0.681790482142857</v>
      </c>
      <c r="I55" s="10" t="n">
        <f aca="false">SUM(J55:M55)/4</f>
        <v>0.71561825</v>
      </c>
      <c r="J55" s="1" t="n">
        <v>0.896723</v>
      </c>
      <c r="K55" s="1" t="n">
        <v>0.876882</v>
      </c>
      <c r="L55" s="1" t="n">
        <v>0.13527</v>
      </c>
      <c r="M55" s="1" t="n">
        <v>0.953598</v>
      </c>
      <c r="N55" s="10" t="n">
        <f aca="false">SUM(O55:U55)/7</f>
        <v>0.647962714285714</v>
      </c>
      <c r="O55" s="1" t="n">
        <v>0.738246</v>
      </c>
      <c r="P55" s="1" t="n">
        <v>0.483397</v>
      </c>
      <c r="Q55" s="1" t="n">
        <v>0.56534</v>
      </c>
      <c r="R55" s="1" t="n">
        <v>0.845653</v>
      </c>
      <c r="S55" s="1" t="n">
        <v>0.638056</v>
      </c>
      <c r="T55" s="1" t="n">
        <v>0.998143</v>
      </c>
      <c r="U55" s="1" t="n">
        <v>0.266904</v>
      </c>
    </row>
    <row r="56" customFormat="false" ht="14.25" hidden="false" customHeight="false" outlineLevel="0" collapsed="false">
      <c r="A56" s="1" t="s">
        <v>299</v>
      </c>
      <c r="B56" s="9" t="s">
        <v>67</v>
      </c>
      <c r="C56" s="10" t="s">
        <v>23</v>
      </c>
      <c r="D56" s="10" t="s">
        <v>24</v>
      </c>
      <c r="E56" s="11" t="s">
        <v>300</v>
      </c>
      <c r="F56" s="1" t="n">
        <v>249.71</v>
      </c>
      <c r="G56" s="11" t="s">
        <v>300</v>
      </c>
      <c r="H56" s="10" t="n">
        <f aca="false">SUM(I56,N56)/2</f>
        <v>0.680855517857143</v>
      </c>
      <c r="I56" s="10" t="n">
        <f aca="false">SUM(J56:M56)/4</f>
        <v>0.62526275</v>
      </c>
      <c r="J56" s="1" t="n">
        <v>0.827522</v>
      </c>
      <c r="K56" s="1" t="n">
        <v>0.621693</v>
      </c>
      <c r="L56" s="1" t="n">
        <v>0.142172</v>
      </c>
      <c r="M56" s="1" t="n">
        <v>0.909664</v>
      </c>
      <c r="N56" s="10" t="n">
        <f aca="false">SUM(O56:U56)/7</f>
        <v>0.736448285714286</v>
      </c>
      <c r="O56" s="1" t="n">
        <v>0.749173</v>
      </c>
      <c r="P56" s="1" t="n">
        <v>0.533381</v>
      </c>
      <c r="Q56" s="1" t="n">
        <v>0.588302</v>
      </c>
      <c r="R56" s="1" t="n">
        <v>0.825865</v>
      </c>
      <c r="S56" s="1" t="n">
        <v>0.618449</v>
      </c>
      <c r="T56" s="1" t="n">
        <v>0.996139</v>
      </c>
      <c r="U56" s="1" t="n">
        <v>0.843829</v>
      </c>
    </row>
    <row r="57" customFormat="false" ht="14.25" hidden="false" customHeight="false" outlineLevel="0" collapsed="false">
      <c r="A57" s="1" t="s">
        <v>299</v>
      </c>
      <c r="B57" s="9" t="s">
        <v>43</v>
      </c>
      <c r="C57" s="10" t="s">
        <v>23</v>
      </c>
      <c r="D57" s="10" t="s">
        <v>35</v>
      </c>
      <c r="E57" s="11" t="s">
        <v>300</v>
      </c>
      <c r="F57" s="1" t="n">
        <v>295.41</v>
      </c>
      <c r="G57" s="11" t="s">
        <v>300</v>
      </c>
      <c r="H57" s="10" t="n">
        <f aca="false">SUM(I57,N57)/2</f>
        <v>0.680407982142857</v>
      </c>
      <c r="I57" s="10" t="n">
        <f aca="false">SUM(J57:M57)/4</f>
        <v>0.67443725</v>
      </c>
      <c r="J57" s="1" t="n">
        <v>0.805515</v>
      </c>
      <c r="K57" s="1" t="n">
        <v>0.819776</v>
      </c>
      <c r="L57" s="1" t="n">
        <v>0.172168</v>
      </c>
      <c r="M57" s="1" t="n">
        <v>0.90029</v>
      </c>
      <c r="N57" s="10" t="n">
        <f aca="false">SUM(O57:U57)/7</f>
        <v>0.686378714285714</v>
      </c>
      <c r="O57" s="1" t="n">
        <v>0.658473</v>
      </c>
      <c r="P57" s="1" t="n">
        <v>0.407437</v>
      </c>
      <c r="Q57" s="1" t="n">
        <v>0.561758</v>
      </c>
      <c r="R57" s="1" t="n">
        <v>0.733107</v>
      </c>
      <c r="S57" s="1" t="n">
        <v>0.59501</v>
      </c>
      <c r="T57" s="1" t="n">
        <v>0.985371</v>
      </c>
      <c r="U57" s="1" t="n">
        <v>0.863495</v>
      </c>
    </row>
    <row r="58" customFormat="false" ht="14.25" hidden="false" customHeight="false" outlineLevel="0" collapsed="false">
      <c r="A58" s="1" t="s">
        <v>299</v>
      </c>
      <c r="B58" s="9" t="s">
        <v>34</v>
      </c>
      <c r="C58" s="10" t="s">
        <v>23</v>
      </c>
      <c r="D58" s="10" t="s">
        <v>24</v>
      </c>
      <c r="E58" s="11" t="s">
        <v>300</v>
      </c>
      <c r="F58" s="1" t="n">
        <v>220.02</v>
      </c>
      <c r="G58" s="11" t="s">
        <v>300</v>
      </c>
      <c r="H58" s="10" t="n">
        <f aca="false">SUM(I58,N58)/2</f>
        <v>0.674543928571429</v>
      </c>
      <c r="I58" s="10" t="n">
        <f aca="false">SUM(J58:M58)/4</f>
        <v>0.623982</v>
      </c>
      <c r="J58" s="1" t="n">
        <v>0.833359</v>
      </c>
      <c r="K58" s="1" t="n">
        <v>0.65086</v>
      </c>
      <c r="L58" s="1" t="n">
        <v>0.104132</v>
      </c>
      <c r="M58" s="1" t="n">
        <v>0.907577</v>
      </c>
      <c r="N58" s="10" t="n">
        <f aca="false">SUM(O58:U58)/7</f>
        <v>0.725105857142857</v>
      </c>
      <c r="O58" s="1" t="n">
        <v>0.715081</v>
      </c>
      <c r="P58" s="1" t="n">
        <v>0.573607</v>
      </c>
      <c r="Q58" s="1" t="n">
        <v>0.582164</v>
      </c>
      <c r="R58" s="1" t="n">
        <v>0.733268</v>
      </c>
      <c r="S58" s="1" t="n">
        <v>0.609681</v>
      </c>
      <c r="T58" s="1" t="n">
        <v>0.994773</v>
      </c>
      <c r="U58" s="1" t="n">
        <v>0.867167</v>
      </c>
    </row>
    <row r="59" customFormat="false" ht="14.25" hidden="false" customHeight="false" outlineLevel="0" collapsed="false">
      <c r="A59" s="1" t="s">
        <v>299</v>
      </c>
      <c r="B59" s="9" t="s">
        <v>39</v>
      </c>
      <c r="C59" s="10" t="s">
        <v>23</v>
      </c>
      <c r="D59" s="10" t="s">
        <v>24</v>
      </c>
      <c r="E59" s="11" t="s">
        <v>300</v>
      </c>
      <c r="F59" s="1" t="n">
        <v>236.14</v>
      </c>
      <c r="G59" s="11" t="s">
        <v>300</v>
      </c>
      <c r="H59" s="10" t="n">
        <f aca="false">SUM(I59,N59)/2</f>
        <v>0.652806160714286</v>
      </c>
      <c r="I59" s="10" t="n">
        <f aca="false">SUM(J59:M59)/4</f>
        <v>0.58472875</v>
      </c>
      <c r="J59" s="1" t="n">
        <v>0.816603</v>
      </c>
      <c r="K59" s="1" t="n">
        <v>0.515835</v>
      </c>
      <c r="L59" s="1" t="n">
        <v>0.107692</v>
      </c>
      <c r="M59" s="1" t="n">
        <v>0.898785</v>
      </c>
      <c r="N59" s="10" t="n">
        <f aca="false">SUM(O59:U59)/7</f>
        <v>0.720883571428571</v>
      </c>
      <c r="O59" s="1" t="n">
        <v>0.717003</v>
      </c>
      <c r="P59" s="1" t="n">
        <v>0.468924</v>
      </c>
      <c r="Q59" s="1" t="n">
        <v>0.580091</v>
      </c>
      <c r="R59" s="1" t="n">
        <v>0.789338</v>
      </c>
      <c r="S59" s="1" t="n">
        <v>0.618507</v>
      </c>
      <c r="T59" s="1" t="n">
        <v>0.996383</v>
      </c>
      <c r="U59" s="1" t="n">
        <v>0.875939</v>
      </c>
    </row>
    <row r="60" customFormat="false" ht="14.25" hidden="false" customHeight="false" outlineLevel="0" collapsed="false">
      <c r="A60" s="1" t="s">
        <v>299</v>
      </c>
      <c r="B60" s="9" t="s">
        <v>37</v>
      </c>
      <c r="C60" s="10" t="s">
        <v>23</v>
      </c>
      <c r="D60" s="10" t="s">
        <v>24</v>
      </c>
      <c r="E60" s="11" t="s">
        <v>300</v>
      </c>
      <c r="F60" s="1" t="n">
        <v>300.03</v>
      </c>
      <c r="G60" s="11" t="s">
        <v>300</v>
      </c>
      <c r="H60" s="10" t="n">
        <f aca="false">SUM(I60,N60)/2</f>
        <v>0.640422785714286</v>
      </c>
      <c r="I60" s="10" t="n">
        <f aca="false">SUM(J60:M60)/4</f>
        <v>0.611859</v>
      </c>
      <c r="J60" s="1" t="n">
        <v>0.806488</v>
      </c>
      <c r="K60" s="1" t="n">
        <v>0.588807</v>
      </c>
      <c r="L60" s="1" t="n">
        <v>0.161232</v>
      </c>
      <c r="M60" s="1" t="n">
        <v>0.890909</v>
      </c>
      <c r="N60" s="10" t="n">
        <f aca="false">SUM(O60:U60)/7</f>
        <v>0.668986571428571</v>
      </c>
      <c r="O60" s="1" t="n">
        <v>0.669624</v>
      </c>
      <c r="P60" s="1" t="n">
        <v>0.512589</v>
      </c>
      <c r="Q60" s="1" t="n">
        <v>0.557212</v>
      </c>
      <c r="R60" s="1" t="n">
        <v>0.552683</v>
      </c>
      <c r="S60" s="1" t="n">
        <v>0.532276</v>
      </c>
      <c r="T60" s="1" t="n">
        <v>0.98356</v>
      </c>
      <c r="U60" s="1" t="n">
        <v>0.874962</v>
      </c>
    </row>
    <row r="61" customFormat="false" ht="14.25" hidden="false" customHeight="false" outlineLevel="0" collapsed="false">
      <c r="A61" s="1" t="s">
        <v>299</v>
      </c>
      <c r="B61" s="9" t="s">
        <v>67</v>
      </c>
      <c r="C61" s="10" t="s">
        <v>23</v>
      </c>
      <c r="D61" s="10" t="s">
        <v>35</v>
      </c>
      <c r="E61" s="11" t="s">
        <v>300</v>
      </c>
      <c r="F61" s="1" t="n">
        <v>236.5</v>
      </c>
      <c r="G61" s="11" t="s">
        <v>300</v>
      </c>
      <c r="H61" s="10" t="n">
        <f aca="false">SUM(I61,N61)/2</f>
        <v>0.638859714285714</v>
      </c>
      <c r="I61" s="10" t="n">
        <f aca="false">SUM(J61:M61)/4</f>
        <v>0.600758</v>
      </c>
      <c r="J61" s="1" t="n">
        <v>0.816011</v>
      </c>
      <c r="K61" s="1" t="n">
        <v>0.565851</v>
      </c>
      <c r="L61" s="1" t="n">
        <v>0.120659</v>
      </c>
      <c r="M61" s="1" t="n">
        <v>0.900511</v>
      </c>
      <c r="N61" s="10" t="n">
        <f aca="false">SUM(O61:U61)/7</f>
        <v>0.676961428571429</v>
      </c>
      <c r="O61" s="1" t="n">
        <v>0.648694</v>
      </c>
      <c r="P61" s="1" t="n">
        <v>0.434829</v>
      </c>
      <c r="Q61" s="1" t="n">
        <v>0.566227</v>
      </c>
      <c r="R61" s="1" t="n">
        <v>0.624208</v>
      </c>
      <c r="S61" s="1" t="n">
        <v>0.581159</v>
      </c>
      <c r="T61" s="1" t="n">
        <v>0.991961</v>
      </c>
      <c r="U61" s="1" t="n">
        <v>0.891652</v>
      </c>
    </row>
    <row r="62" customFormat="false" ht="14.25" hidden="false" customHeight="false" outlineLevel="0" collapsed="false">
      <c r="A62" s="1" t="s">
        <v>299</v>
      </c>
      <c r="B62" s="9" t="s">
        <v>37</v>
      </c>
      <c r="C62" s="10" t="s">
        <v>23</v>
      </c>
      <c r="D62" s="10" t="s">
        <v>35</v>
      </c>
      <c r="E62" s="11" t="s">
        <v>300</v>
      </c>
      <c r="F62" s="1" t="n">
        <v>282.05</v>
      </c>
      <c r="G62" s="11" t="s">
        <v>300</v>
      </c>
      <c r="H62" s="10" t="n">
        <f aca="false">SUM(I62,N62)/2</f>
        <v>0.619157303571429</v>
      </c>
      <c r="I62" s="10" t="n">
        <f aca="false">SUM(J62:M62)/4</f>
        <v>0.60313375</v>
      </c>
      <c r="J62" s="1" t="n">
        <v>0.778931</v>
      </c>
      <c r="K62" s="1" t="n">
        <v>0.605143</v>
      </c>
      <c r="L62" s="1" t="n">
        <v>0.169686</v>
      </c>
      <c r="M62" s="1" t="n">
        <v>0.858775</v>
      </c>
      <c r="N62" s="10" t="n">
        <f aca="false">SUM(O62:U62)/7</f>
        <v>0.635180857142857</v>
      </c>
      <c r="O62" s="1" t="n">
        <v>0.594284</v>
      </c>
      <c r="P62" s="1" t="n">
        <v>0.438094</v>
      </c>
      <c r="Q62" s="1" t="n">
        <v>0.535962</v>
      </c>
      <c r="R62" s="1" t="n">
        <v>0.556899</v>
      </c>
      <c r="S62" s="1" t="n">
        <v>0.500466</v>
      </c>
      <c r="T62" s="1" t="n">
        <v>0.976439</v>
      </c>
      <c r="U62" s="1" t="n">
        <v>0.844122</v>
      </c>
    </row>
  </sheetData>
  <autoFilter ref="A2:U62">
    <sortState ref="A3:U62">
      <sortCondition ref="B3:B62" descending="1" customList=""/>
    </sortState>
  </autoFilter>
  <mergeCells count="2">
    <mergeCell ref="I1:M1"/>
    <mergeCell ref="N1:U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7" activeCellId="0" sqref="B27"/>
    </sheetView>
  </sheetViews>
  <sheetFormatPr defaultColWidth="8.6796875" defaultRowHeight="14.25" zeroHeight="false" outlineLevelRow="0" outlineLevelCol="0"/>
  <cols>
    <col collapsed="false" customWidth="true" hidden="false" outlineLevel="0" max="1" min="1" style="1" width="23.79"/>
    <col collapsed="false" customWidth="true" hidden="false" outlineLevel="0" max="2" min="2" style="1" width="13.11"/>
    <col collapsed="false" customWidth="true" hidden="false" outlineLevel="0" max="8" min="8" style="1" width="24.2"/>
    <col collapsed="false" customWidth="true" hidden="false" outlineLevel="0" max="9" min="9" style="1" width="23.09"/>
  </cols>
  <sheetData>
    <row r="1" customFormat="false" ht="64.9" hidden="false" customHeight="false" outlineLevel="0" collapsed="false">
      <c r="A1" s="4" t="s">
        <v>2</v>
      </c>
      <c r="B1" s="4" t="s">
        <v>3</v>
      </c>
      <c r="C1" s="4" t="s">
        <v>4</v>
      </c>
      <c r="D1" s="4" t="s">
        <v>5</v>
      </c>
      <c r="E1" s="4" t="s">
        <v>6</v>
      </c>
      <c r="F1" s="4" t="s">
        <v>7</v>
      </c>
      <c r="G1" s="4" t="s">
        <v>8</v>
      </c>
      <c r="H1" s="5" t="s">
        <v>9</v>
      </c>
      <c r="I1" s="6" t="s">
        <v>9</v>
      </c>
      <c r="J1" s="4" t="s">
        <v>10</v>
      </c>
      <c r="K1" s="4" t="s">
        <v>11</v>
      </c>
      <c r="L1" s="4" t="s">
        <v>12</v>
      </c>
      <c r="M1" s="4" t="s">
        <v>13</v>
      </c>
      <c r="N1" s="7" t="s">
        <v>9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customFormat="false" ht="14.25" hidden="false" customHeight="false" outlineLevel="0" collapsed="false">
      <c r="A2" s="1" t="s">
        <v>301</v>
      </c>
      <c r="B2" s="9"/>
      <c r="E2" s="11"/>
      <c r="G2" s="13"/>
      <c r="H2" s="10" t="n">
        <f aca="false">SUM(I2,N2)/2</f>
        <v>0.492879857142857</v>
      </c>
      <c r="I2" s="10" t="n">
        <f aca="false">SUM(J2:M2)/4</f>
        <v>0.443269</v>
      </c>
      <c r="J2" s="12" t="n">
        <v>0.807468</v>
      </c>
      <c r="K2" s="12" t="n">
        <v>0</v>
      </c>
      <c r="L2" s="12" t="n">
        <v>0.084497</v>
      </c>
      <c r="M2" s="12" t="n">
        <v>0.881111</v>
      </c>
      <c r="N2" s="10" t="n">
        <f aca="false">SUM(O2:U2)/7</f>
        <v>0.542490714285714</v>
      </c>
      <c r="O2" s="12" t="n">
        <v>0.552198</v>
      </c>
      <c r="P2" s="12" t="n">
        <v>0.31596</v>
      </c>
      <c r="Q2" s="12" t="n">
        <v>0.394814</v>
      </c>
      <c r="R2" s="12" t="n">
        <v>0.479962</v>
      </c>
      <c r="S2" s="12" t="n">
        <v>0.420206</v>
      </c>
      <c r="T2" s="12" t="n">
        <v>0.977174</v>
      </c>
      <c r="U2" s="12" t="n">
        <v>0.657121</v>
      </c>
    </row>
    <row r="3" customFormat="false" ht="14.25" hidden="false" customHeight="false" outlineLevel="0" collapsed="false">
      <c r="A3" s="1" t="s">
        <v>302</v>
      </c>
      <c r="B3" s="9"/>
      <c r="E3" s="11"/>
      <c r="G3" s="13"/>
      <c r="H3" s="10" t="n">
        <f aca="false">SUM(I3,N3)/2</f>
        <v>0.682519589285714</v>
      </c>
      <c r="I3" s="10" t="n">
        <f aca="false">SUM(J3:M3)/4</f>
        <v>0.76744875</v>
      </c>
      <c r="J3" s="14" t="n">
        <v>0.95318</v>
      </c>
      <c r="K3" s="14" t="n">
        <v>0.874587</v>
      </c>
      <c r="L3" s="14" t="n">
        <v>0.338672</v>
      </c>
      <c r="M3" s="14" t="n">
        <v>0.903356</v>
      </c>
      <c r="N3" s="10" t="n">
        <f aca="false">SUM(O3:U3)/7</f>
        <v>0.597590428571429</v>
      </c>
      <c r="O3" s="14" t="n">
        <v>0.462421</v>
      </c>
      <c r="P3" s="14" t="n">
        <v>0.40447</v>
      </c>
      <c r="Q3" s="14" t="n">
        <v>0.489256</v>
      </c>
      <c r="R3" s="14" t="n">
        <v>0.483401</v>
      </c>
      <c r="S3" s="14" t="n">
        <v>0.534007</v>
      </c>
      <c r="T3" s="14" t="n">
        <v>0.921518</v>
      </c>
      <c r="U3" s="14" t="n">
        <v>0.88806</v>
      </c>
    </row>
    <row r="4" customFormat="false" ht="14.25" hidden="false" customHeight="false" outlineLevel="0" collapsed="false">
      <c r="A4" s="1" t="s">
        <v>303</v>
      </c>
      <c r="B4" s="9"/>
      <c r="E4" s="11"/>
      <c r="G4" s="13"/>
      <c r="H4" s="10" t="n">
        <f aca="false">SUM(I4,N4)/2</f>
        <v>0.668875857142857</v>
      </c>
      <c r="I4" s="10" t="n">
        <f aca="false">SUM(J4:M4)/4</f>
        <v>0.626406</v>
      </c>
      <c r="J4" s="14" t="n">
        <v>0.853453</v>
      </c>
      <c r="K4" s="14" t="n">
        <v>0.686702</v>
      </c>
      <c r="L4" s="14" t="n">
        <v>0.045345</v>
      </c>
      <c r="M4" s="14" t="n">
        <v>0.920124</v>
      </c>
      <c r="N4" s="10" t="n">
        <f aca="false">SUM(O4:U4)/7</f>
        <v>0.711345714285714</v>
      </c>
      <c r="O4" s="14" t="n">
        <v>0.686724</v>
      </c>
      <c r="P4" s="14" t="n">
        <v>0.37912</v>
      </c>
      <c r="Q4" s="14" t="n">
        <v>0.564453</v>
      </c>
      <c r="R4" s="14" t="n">
        <v>0.851671</v>
      </c>
      <c r="S4" s="14" t="n">
        <v>0.643506</v>
      </c>
      <c r="T4" s="14" t="n">
        <v>0.999071</v>
      </c>
      <c r="U4" s="14" t="n">
        <v>0.854875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mohd mahmood</dc:creator>
  <dc:description/>
  <dc:language>en-US</dc:language>
  <cp:lastModifiedBy/>
  <dcterms:modified xsi:type="dcterms:W3CDTF">2025-05-04T19:33:20Z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